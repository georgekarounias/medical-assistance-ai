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repos\medical-assistance\medicalassistant\ai-med\medical-assistance-ai\docs\"/>
    </mc:Choice>
  </mc:AlternateContent>
  <xr:revisionPtr revIDLastSave="0" documentId="13_ncr:1_{090B3B6C-2C5B-4228-B807-E47959ED8D62}" xr6:coauthVersionLast="47" xr6:coauthVersionMax="47" xr10:uidLastSave="{00000000-0000-0000-0000-000000000000}"/>
  <bookViews>
    <workbookView xWindow="780" yWindow="780" windowWidth="21600" windowHeight="11385" activeTab="1" xr2:uid="{00000000-000D-0000-FFFF-FFFF00000000}"/>
  </bookViews>
  <sheets>
    <sheet name="Overview" sheetId="1" r:id="rId1"/>
    <sheet name="Tasks" sheetId="2" r:id="rId2"/>
    <sheet name="Known Bugs" sheetId="3" r:id="rId3"/>
  </sheets>
  <definedNames>
    <definedName name="_xlnm._FilterDatabase" localSheetId="2" hidden="1">'Known Bugs'!$A$1:$H$19</definedName>
    <definedName name="_xlnm._FilterDatabase" localSheetId="1" hidden="1">Tasks!$A$1:$G$37</definedName>
  </definedNames>
  <calcPr calcId="191029"/>
</workbook>
</file>

<file path=xl/calcChain.xml><?xml version="1.0" encoding="utf-8"?>
<calcChain xmlns="http://schemas.openxmlformats.org/spreadsheetml/2006/main">
  <c r="D27" i="1" l="1"/>
  <c r="C27" i="1"/>
  <c r="D26" i="1"/>
  <c r="C26" i="1"/>
  <c r="D25" i="1"/>
  <c r="C25" i="1"/>
  <c r="D24" i="1"/>
  <c r="C24" i="1"/>
  <c r="E24" i="1" s="1"/>
  <c r="D23" i="1"/>
  <c r="C23" i="1"/>
  <c r="D22" i="1"/>
  <c r="C22" i="1"/>
  <c r="D21" i="1"/>
  <c r="C21" i="1"/>
  <c r="D20" i="1"/>
  <c r="D28" i="1" s="1"/>
  <c r="C20" i="1"/>
  <c r="E23" i="1" l="1"/>
  <c r="E22" i="1"/>
  <c r="E25" i="1"/>
  <c r="E20" i="1"/>
  <c r="E26" i="1"/>
  <c r="E21" i="1"/>
  <c r="E27" i="1"/>
  <c r="E28" i="1"/>
  <c r="C28" i="1"/>
</calcChain>
</file>

<file path=xl/sharedStrings.xml><?xml version="1.0" encoding="utf-8"?>
<sst xmlns="http://schemas.openxmlformats.org/spreadsheetml/2006/main" count="441" uniqueCount="296">
  <si>
    <t>Clinical Document Ingestion Service - Developer Task List</t>
  </si>
  <si>
    <t>Turns clinical documents (session transcripts first; doctor notes, lab PDFs, imaging reports next) into a patient-scoped, searchable knowledge store (Postgres + pgvector) for a future RAG chat. Only the existing backend calls this service. Stack: .NET 10, ASP.NET controllers, EF Core, Microsoft Agent Framework, SignalR. Work rule: take the first task whose dependencies are all Completed; each task is one red-green TDD cycle at the integration seam.</t>
  </si>
  <si>
    <t>The two invariants every task must preserve</t>
  </si>
  <si>
    <t>1. The AI points, code copies - no generative model ever produces a stored number or word of patient text (ADR-0002/0006).</t>
  </si>
  <si>
    <t>2. Nothing is ever partially visible - every ingestion commits atomically; corrections supersede in the same transaction (ADR-0003).</t>
  </si>
  <si>
    <t>Full reasoning: docs/adr, docs/ingestion-pipeline-design.md, docs/prd.</t>
  </si>
  <si>
    <t>Status legend</t>
  </si>
  <si>
    <t>Completed</t>
  </si>
  <si>
    <t>In Progress</t>
  </si>
  <si>
    <t>Not Started</t>
  </si>
  <si>
    <t>Phases</t>
  </si>
  <si>
    <t>Phase</t>
  </si>
  <si>
    <t>Tasks</t>
  </si>
  <si>
    <t>Remaining</t>
  </si>
  <si>
    <t>0 - Foundations</t>
  </si>
  <si>
    <t>1 - Transcript Pipeline</t>
  </si>
  <si>
    <t>2 - Trust &amp; Correctness</t>
  </si>
  <si>
    <t>3 - Security</t>
  </si>
  <si>
    <t>4 - Live Status</t>
  </si>
  <si>
    <t>5 - Patient Record Control</t>
  </si>
  <si>
    <t>6 - More Document Types</t>
  </si>
  <si>
    <t>7 - Production Readiness</t>
  </si>
  <si>
    <t>Total</t>
  </si>
  <si>
    <t>ID</t>
  </si>
  <si>
    <t>Title</t>
  </si>
  <si>
    <t>The Task</t>
  </si>
  <si>
    <t>How it contributes to the bigger picture</t>
  </si>
  <si>
    <t>Depends On</t>
  </si>
  <si>
    <t>Status</t>
  </si>
  <si>
    <t>T01</t>
  </si>
  <si>
    <t>Design documentation</t>
  </si>
  <si>
    <t>All design artifacts exist: glossary (CONTEXT.md), design record, ADRs 0001-0008, PRD. Read the ADRs before implementing any task - they are constraints, not suggestions.</t>
  </si>
  <si>
    <t>Every task below implements a decision that was argued and recorded in the grill sessions; the docs are the 'why' behind each one.</t>
  </si>
  <si>
    <t>T02</t>
  </si>
  <si>
    <t>Solution scaffold &amp; test harness</t>
  </si>
  <si>
    <t>Solution with API + test project. Integration tests host the full service in-process against a real pgvector Postgres (Testcontainers), with scripted fakes for the chat and embedding providers.</t>
  </si>
  <si>
    <t>Every feature gets proven at the same seam a real client uses - and development needs no Azure account and no shared database.</t>
  </si>
  <si>
    <t>T03</t>
  </si>
  <si>
    <t>Submit endpoint - POST /ingestions</t>
  </si>
  <si>
    <t>Accepts a transcript document (doctorId, patientId, sessionId, sequenceNumber, free-text transcript), stores a durable Queued ingestion (raw payload + content hash), enqueues it, responds 202 with the ingestion id.</t>
  </si>
  <si>
    <t>The durable-first front door: an accepted upload can never be silently lost - the root guarantee everything else builds on.</t>
  </si>
  <si>
    <t>T04</t>
  </si>
  <si>
    <t>Background worker pipeline</t>
  </si>
  <si>
    <t>Configurable worker pool (default 4) consumes the queue concurrently; each ingestion runs isolated and any unhandled error is persisted as Failed with its reason.</t>
  </si>
  <si>
    <t>Many doctors ingest at once, and no failure is ever swallowed - honest status is a product feature, not a nicety.</t>
  </si>
  <si>
    <t>T05</t>
  </si>
  <si>
    <t>Boundaries-only chunking agent</t>
  </si>
  <si>
    <t>An Agent Framework agent gets the transcript as numbered lines and returns only chunk boundaries (line ranges), a context blurb per chunk, and a transcript summary. Code assembles chunk text verbatim from the lines.</t>
  </si>
  <si>
    <t>ADR-0002, the core safety property: the AI can never alter a word of patient dialog. Blurbs and summary buy retrieval accuracy; verbatim assembly buys clinical safety.</t>
  </si>
  <si>
    <t>T06</t>
  </si>
  <si>
    <t>Batched embedding &amp; atomic store</t>
  </si>
  <si>
    <t>All chunk texts (blurb + verbatim; summary as its own chunk) embed in batched calls; chunks + Completed status commit in ONE transaction, carrying the shared metadata spine (patient, doctor, document, date, kind, provenance).</t>
  </si>
  <si>
    <t>ADR-0003: retrieval can never see a half-ingested transcript. The spine is what patient-scoped, cross-document search will filter on forever - designed once, on purpose.</t>
  </si>
  <si>
    <t>T07</t>
  </si>
  <si>
    <t>Status endpoint - GET /ingestions/{id}</t>
  </si>
  <si>
    <t>Returns Queued / Processing / Completed / Failed plus the failure reason.</t>
  </si>
  <si>
    <t>The truth-source clients can always fall back to; the later SignalR events are only hints to look here.</t>
  </si>
  <si>
    <t>T08</t>
  </si>
  <si>
    <t>Controllers &amp; EF Core</t>
  </si>
  <si>
    <t>REST surface as documented controllers; EF Core with pgvector mapping; schema bootstrapped from the model.</t>
  </si>
  <si>
    <t>The codebase reads like any of the team's .NET services - the 'easy for developers to understand' constraint made real.</t>
  </si>
  <si>
    <t>T09</t>
  </si>
  <si>
    <t>Swagger documentation</t>
  </si>
  <si>
    <t>Full XML docs surfaced in Swagger UI with typed request/response schemas and per-field descriptions.</t>
  </si>
  <si>
    <t>The backend team integrates from /swagger without reading source code.</t>
  </si>
  <si>
    <t>T10</t>
  </si>
  <si>
    <t>Agent instructions from the database</t>
  </si>
  <si>
    <t>Create an agent_instructions table (agent name -&gt; instructions -&gt; version), seeded from code defaults when missing; load it once at application start into a singleton provider, and build every agent (TranscriptChunker now, future agents later) from it instead of hardcoded strings. Stamp every ingestion with the instruction version and chat model that processed it.</t>
  </si>
  <si>
    <t>ADR-0008: prompts become operational configuration - tunable with a restart, no redeploy - while code guardrails keep enforcing the output contract. The version stamp means a quality regression can be traced to the prompt that caused it, and only its ingestions selectively re-processed.</t>
  </si>
  <si>
    <t>T11</t>
  </si>
  <si>
    <t>Chunk-plan validation &amp; corrective retry</t>
  </si>
  <si>
    <t>Validate the agent's plan before using it: boundaries contiguous, non-overlapping, covering every line. On violation retry once with the violation named in the prompt; a second bad plan marks the ingestion Failed - no fallback chunking, per your explicit decision.</t>
  </si>
  <si>
    <t>Never trust LLM output blindly. You chose an honest, retriable Failed over silently degraded search - this task is that choice, implemented.</t>
  </si>
  <si>
    <t>T12</t>
  </si>
  <si>
    <t>Chunk size guardrails</t>
  </si>
  <si>
    <t>After validation, enforce sizes in code: merge fragments below ~50 tokens into a neighbor, split chunks above ~800 tokens at a line boundary. No LLM involved.</t>
  </si>
  <si>
    <t>Embedding quality collapses on extreme chunk sizes; this keeps retrieval accuracy stable no matter how the model chunks.</t>
  </si>
  <si>
    <t>T13</t>
  </si>
  <si>
    <t>Request validation</t>
  </si>
  <si>
    <t>Reject bad submissions with field-level 400s: unsupported documentType, missing sessionId/sequenceNumber, empty transcript. An invalid request never creates an ingestion row.</t>
  </si>
  <si>
    <t>A clear contract for the backend team, and garbage never enters the pipeline to fail mysteriously later.</t>
  </si>
  <si>
    <t>T14</t>
  </si>
  <si>
    <t>Duplicate detection</t>
  </si>
  <si>
    <t>On POST, compare the content hash for the same (sessionId, sequenceNumber): identical + previously Completed returns the existing id with duplicate:true and does not reprocess; identical + previously Failed counts as a retry.</t>
  </si>
  <si>
    <t>Double-clicks and client retries are free and create no duplicate knowledge - the no-op rule from the identity design (Q3/Q10 of the grill session).</t>
  </si>
  <si>
    <t>T15</t>
  </si>
  <si>
    <t>Concurrency guard</t>
  </si>
  <si>
    <t>While an ingestion for an identity is Queued/Processing, a new POST for the same identity gets 409.</t>
  </si>
  <si>
    <t>Two workers must never process the same document simultaneously - that race corrupts the chunk set. Different documents still run fully parallel.</t>
  </si>
  <si>
    <t>T16</t>
  </si>
  <si>
    <t>Correction - superseding re-ingestion</t>
  </si>
  <si>
    <t>A re-POST of an existing (sessionId, sequenceNumber) with different content creates a new ingestion whose final commit deletes the old chunks and inserts the new ones in the same transaction.</t>
  </si>
  <si>
    <t>Your sequence-number semantics: a corrected transcript replaces the old one completely and atomically - the chat can never quote a stale version.</t>
  </si>
  <si>
    <t>T14, T15</t>
  </si>
  <si>
    <t>T17</t>
  </si>
  <si>
    <t>Continuation - sibling transcripts</t>
  </si>
  <si>
    <t>Prove end-to-end that a new sequence number for an existing session coexists with earlier ones (both chunk sets searchable), and fix any cross-sibling leakage the test exposes.</t>
  </si>
  <si>
    <t>Interrupted recordings (dead battery, paused session) are first-class: a session's knowledge is complete, never overwritten by a sibling.</t>
  </si>
  <si>
    <t>T18</t>
  </si>
  <si>
    <t>Crash recovery &amp; attempt cap</t>
  </si>
  <si>
    <t>Track attempts per ingestion; on startup re-enqueue everything non-terminal; after 3 attempts mark Failed instead of retrying again.</t>
  </si>
  <si>
    <t>A deploy or crash never loses an upload (the doctor's progress bar never lies forever), and one poison document cannot consume the service.</t>
  </si>
  <si>
    <t>T19</t>
  </si>
  <si>
    <t>Retry endpoint - POST /ingestions/{id}/retry</t>
  </si>
  <si>
    <t>Re-runs a Failed ingestion from its stored payload as a full rerun - no stage checkpoints, per ADR-0003.</t>
  </si>
  <si>
    <t>Recovery costs one call, never a re-upload. Rerun-from-scratch keeps the failure model something every developer can hold in their head.</t>
  </si>
  <si>
    <t>T20</t>
  </si>
  <si>
    <t>API-secret authentication</t>
  </si>
  <si>
    <t>Require the secret header on every endpoint, validated against two configured keys (zero-downtime rotation); add the ApiKey scheme to Swagger; the test fixture sends it by default from now on.</t>
  </si>
  <si>
    <t>ADR-0007: one trusted caller makes a secret the right tool (not OAuth). Patient data stops being an open endpoint.</t>
  </si>
  <si>
    <t>T21</t>
  </si>
  <si>
    <t>SignalR status hub</t>
  </si>
  <si>
    <t>Hub at /hubs/ingestion-status whose handshake is authenticated with the same API secret; the backend is the only client - no per-doctor groups in this service.</t>
  </si>
  <si>
    <t>The topology you chose: real-time UX for the doctor while this service stays internal - the backend relays events to devices.</t>
  </si>
  <si>
    <t>T22</t>
  </si>
  <si>
    <t>Stage-level progress events</t>
  </si>
  <si>
    <t>Publish doctorId-stamped events at every transition (Queued, Chunking, Embedding, Storing, Completed, Failed + reason), fire-and-forget.</t>
  </si>
  <si>
    <t>The doctor watches honest, named progress - and failures arrive with an explanation. Events are hints; the REST status stays the truth.</t>
  </si>
  <si>
    <t>T23</t>
  </si>
  <si>
    <t>Backfill query - GET /ingestions?doctorId=&amp;active=true</t>
  </si>
  <si>
    <t>List a doctor's in-flight ingestions so a reconnecting client can resync in one call.</t>
  </si>
  <si>
    <t>Missed events never matter and nobody builds event-replay infrastructure - REST is the source of truth by design.</t>
  </si>
  <si>
    <t>T24</t>
  </si>
  <si>
    <t>Patient document list - GET /patients/{id}/documents</t>
  </si>
  <si>
    <t>Latest state per document for a patient: type, clinical date, status, session link.</t>
  </si>
  <si>
    <t>The doctor sees what the system knows about a patient - and this list is the entry point for removing what shouldn't be there.</t>
  </si>
  <si>
    <t>T25</t>
  </si>
  <si>
    <t>Un-ingest - DELETE /documents/{documentId}</t>
  </si>
  <si>
    <t>Remove a document's chunks and stored payload in one transaction; keep the ingestion row as a Deleted tombstone recording who removed it and when. 409 while it is still Processing.</t>
  </si>
  <si>
    <t>The feature you explicitly asked for: a wrong-patient upload is fully correctable, and the correction is accountable - silent disappearance would be worse than the mistake.</t>
  </si>
  <si>
    <t>T26</t>
  </si>
  <si>
    <t>GDPR erasure - DELETE /patients/{id}/data</t>
  </si>
  <si>
    <t>Guarded by a separate admin secret: purge everything for the patient - chunks, ingestion rows, tombstones - and write one irreversible erasure-log entry.</t>
  </si>
  <si>
    <t>The right to be forgotten as a designed, tested operation. The separate key means a leaked everyday secret can never erase patients.</t>
  </si>
  <si>
    <t>T20, T25</t>
  </si>
  <si>
    <t>T27</t>
  </si>
  <si>
    <t>Ingestion strategy registry</t>
  </si>
  <si>
    <t>Introduce the strategy interface and a deterministic documentType-to-strategy lookup (ADR-0004 - routing is never an AI decision); the transcript pipeline becomes the first registered strategy; the supported-type list drives request validation.</t>
  </si>
  <si>
    <t>The platform seam from the expansion grill session: every future document kind is one new strategy - intake, queueing, status and storage never change again.</t>
  </si>
  <si>
    <t>T28</t>
  </si>
  <si>
    <t>DoctorNote strategy</t>
  </si>
  <si>
    <t>New strategy for typed notes: identity is noteId (an edit is a Correction), optional session link, chunk kind 'note'. Extract the prose pipeline (chunk-validate-embed-store) into a shared component both strategies use.</t>
  </si>
  <si>
    <t>The doctor's own observations join the searchable record - the cheapest expansion, and the proof that the registry seam works.</t>
  </si>
  <si>
    <t>T16, T27</t>
  </si>
  <si>
    <t>T29</t>
  </si>
  <si>
    <t>PDF intake &amp; extraction seam</t>
  </si>
  <si>
    <t>Accept base64 PDF payloads (size-capped, 400 above the limit); add a document-extraction seam with an Azure Document Intelligence layout adapter (text + tables as cell grids) and a canned fake for tests. Digital PDFs only - no OCR (ADR-0005).</t>
  </si>
  <si>
    <t>The gateway for labs and imaging: formatted PDFs become machine-readable with no generative model anywhere near the numbers.</t>
  </si>
  <si>
    <t>T30</t>
  </si>
  <si>
    <t>LabReport Tier 1 - searchable panels</t>
  </si>
  <si>
    <t>Lab strategy: code deterministically renders each extracted table into readable panel text ('Hemoglobin: 13.2 g/dL (ref 13.5-17.5, LOW)') - one chunk per panel. No LLM in this tier.</t>
  </si>
  <si>
    <t>'What were her last blood results?' becomes answerable from the actual report, with zero hallucination risk by construction.</t>
  </si>
  <si>
    <t>T31</t>
  </si>
  <si>
    <t>LabReport Tier 2 - verified analyte rows</t>
  </si>
  <si>
    <t>A mapping agent only classifies table columns and canonical analyte names; code copies the values from the referenced cells and verifies each appears verbatim in the source grid. Any failed row: store ZERO rows and flag the ingestion analytesExtracted=false - all-or-nothing, your tiered-honesty decision.</t>
  </si>
  <si>
    <t>ADR-0006: trend queries ('HbA1c over the year') get numbers doctors can trust because no model generated them - and partial panels never silently exist.</t>
  </si>
  <si>
    <t>T32</t>
  </si>
  <si>
    <t>ImagingReport strategy</t>
  </si>
  <si>
    <t>Imaging report PDFs: extracted text through the shared prose pipeline; every chunk carries the required imageLink; pixel data is never ingested.</t>
  </si>
  <si>
    <t>Findings become searchable while the actual image stays one tap away in the doctor's existing viewer (ADR-0005).</t>
  </si>
  <si>
    <t>T33</t>
  </si>
  <si>
    <t>Azure OpenAI provider wiring</t>
  </si>
  <si>
    <t>When the AzureOpenAI config section is present, register the real chat + embedding clients (EU region, secrets from user-secrets/secret store) in place of the placeholders. Stamp every chunk with the embedding model that produced its vector, and add a startup guard that fails loudly if configured dimensions don't match the existing index.</t>
  </si>
  <si>
    <t>Flips the service from fakes to real AI purely by configuration, with EU residency for health data. The embedding recipe is a write/read contract: recording it per chunk is what makes a future model change a managed re-embedding migration instead of silent search corruption.</t>
  </si>
  <si>
    <t>T34</t>
  </si>
  <si>
    <t>EF Core migrations</t>
  </si>
  <si>
    <t>Replace schema-from-model bootstrapping with proper migrations (keep the pgvector type-reload step); document the migration workflow.</t>
  </si>
  <si>
    <t>Once real patient data exists, the schema can evolve without data loss - non-negotiable for production.</t>
  </si>
  <si>
    <t>T35</t>
  </si>
  <si>
    <t>Observability</t>
  </si>
  <si>
    <t>OpenTelemetry traces (HTTP, database, and spans around every agent/embedding/extraction call), ingestion-correlated structured logs, outcome and duration metrics. Also persist a per-ingestion quality report at commit time: chunk count, token distribution, merges/splits applied by the guardrails, whether the corrective retry fired.</t>
  </si>
  <si>
    <t>The PRD's 'the system explains itself' constraint: ops answers 'why is this slow or failing' from telemetry - and the quality report turns golden-set baselines into measured numbers, so chunking regressions are seen, not suspected.</t>
  </si>
  <si>
    <t>T36</t>
  </si>
  <si>
    <t>Golden test sets</t>
  </si>
  <si>
    <t>Golden transcripts (Greek, English, mixed) and per-lab-provider golden PDFs with expected outputs, run as regression tests in the suite.</t>
  </si>
  <si>
    <t>Accuracy claims become measured, not asserted - and the per-lab set is the gate that decides when Tier 2 extraction is trustworthy enough to rely on.</t>
  </si>
  <si>
    <t>T11, T30</t>
  </si>
  <si>
    <t>T37</t>
  </si>
  <si>
    <t>OpenAI provider support</t>
  </si>
  <si>
    <t>Add plain OpenAI (and OpenAI-compatible endpoints) as a second chat + embedding provider alongside Azure OpenAI, gated purely by configuration (OpenAIChat / OpenAIEmbeddings sections: ApiKey, BaseUrl, Model). Registered after the Unconfigured placeholders and before Azure, so both beat the placeholder and Azure wins last when a seam has both configured. Confirm the Microsoft Agent Framework package set (Microsoft.Agents.AI 1.13.0 + Extensions.AI) matches the consultant-ai service.</t>
  </si>
  <si>
    <t>Provider choice becomes configuration, not architecture: the same build runs against OpenAI or Azure OpenAI, matching the consultant-ai service's provider parity and easing local/dev use without an Azure account. Stored artifacts stay provider-neutral, so provider lock-in stays shallow.</t>
  </si>
  <si>
    <t>Area</t>
  </si>
  <si>
    <t>Severity</t>
  </si>
  <si>
    <t>The Problem</t>
  </si>
  <si>
    <t>Why it matters</t>
  </si>
  <si>
    <t>Suggested Solution</t>
  </si>
  <si>
    <t>B01</t>
  </si>
  <si>
    <t>Retry / Correction</t>
  </si>
  <si>
    <t>Retrying a failed ingestion reverts a later correction</t>
  </si>
  <si>
    <t>High</t>
  </si>
  <si>
    <t>TryRetryAsync only checked Status == 'Failed'. Where a transcript failed, was corrected, and the corrected version completed, rerunning the original failed ingestion completed over it: SupersedePreviousVersionAsync deleted the newer chunks, wrote the older ones, and marked the correction Superseded. (IngestionStore.cs)</t>
  </si>
  <si>
    <t>Clinical text silently reverts to a version a doctor had explicitly replaced, and nothing reports an error. The chat would then quote retracted wording as if it were current.</t>
  </si>
  <si>
    <t>FIXED. A Failed ingestion is now rerunnable only while it is still the most recent word on its document: the requeue UPDATE carries a NOT EXISTS over any Completed ingestion of the same identity with a later CreatedAt, and returns RetryOutcome.Overtaken. The retry endpoint answers 409; re-posting the same content instead falls through and ingests as new work, since that is a deliberate return to it. Ordering matters — 'any completed version exists' would wrongly block retrying a correction that failed over an earlier success. Three tests cover it.</t>
  </si>
  <si>
    <t>Fixed</t>
  </si>
  <si>
    <t>B02</t>
  </si>
  <si>
    <t>Database / Schema</t>
  </si>
  <si>
    <t>EnsureCreated never applies schema changes</t>
  </si>
  <si>
    <t>Program.cs calls db.Database.EnsureCreatedAsync(), which builds the schema only when the database does not exist and no-ops otherwise. Attempts, DocumentDate and six indexes were added to the model after early databases were created, so those databases do not have them.</t>
  </si>
  <si>
    <t>Fresh containers are correct, so the whole test suite is green and the gap is invisible there. Any database predating a model change — a local dev DB, anything already deployed — throws at query time on the missing column.</t>
  </si>
  <si>
    <t>FIXED. EF Core migrations own the schema: an InitialSchema migration under Ingestions/Migrations, applied by MigrateAsync at startup in place of EnsureCreated, behind a Postgres advisory lock so a rolling deploy cannot have two instances race to apply the same one. EF Core 10 refuses to migrate a model that has drifted from its migrations, so an unscaffolded change now takes the service down at startup with a message naming the fix, instead of silently leaving the database behind. A design-time context factory keeps 'dotnet ef' from having to boot the app. Four tests assert the schema is migration-applied, that no model change is unscaffolded, and that the live columns and vector width match the model. NOTE: the embedding dimension had to become a constant (3072) rather than configuration — the vector(n) width is baked into the migration's DDL and cannot vary per environment. Tests now run at the real dimension instead of 8. Existing databases built by EnsureCreated must be dropped and rebuilt; baselining them would keep the missing columns.</t>
  </si>
  <si>
    <t>B03</t>
  </si>
  <si>
    <t>Worker / Scaling</t>
  </si>
  <si>
    <t>Every instance requeues every unfinished ingestion at startup</t>
  </si>
  <si>
    <t>Medium</t>
  </si>
  <si>
    <t>Startup recovery in Program.cs calls FindUnfinishedAsync, which is global, and writes the ids into that instance's own in-memory channel. Two instances therefore queue the same ingestion. TryClaimAsync does not prevent it: instance A claims (attempts 0 to 1) and instance B still matches Attempts &lt; maxAttempts and claims as well.</t>
  </si>
  <si>
    <t>Two workers process one document concurrently and race to write its chunk set — the very condition the in-flight guard exists to prevent. Harmless on a single instance, and silent on two.</t>
  </si>
  <si>
    <t>FIXED. Ownership is a per-ingestion Postgres advisory lock, taken on its own connection and held for the whole run: whoever gets it runs the document, everyone else logs and puts it down. Chosen over a lease column because a lease needs a heartbeat while an LLM call is in flight, a timeout, and an answer for when the timeout guesses wrong — and a stolen lease reintroduces the very double-processing it is meant to stop. An advisory lock belongs to the database session, so a killed process releases its claim when the connection drops and crash recovery still works unchanged. Ingestions use the two-key lock space and migrations the single-key space, which Postgres keeps separate, so no ingestion key can collide with the B02 migration lock. Verified red first, and again by deliberately disabling the skip. Residual, tracked as B10: recovery is still startup-only.</t>
  </si>
  <si>
    <t>B04</t>
  </si>
  <si>
    <t>Live Status</t>
  </si>
  <si>
    <t>No Queued event when work is requeued</t>
  </si>
  <si>
    <t>Low</t>
  </si>
  <si>
    <t>The Queued stage event is published only on the fresh-submit path in IngestionsController.Submit. The retry endpoint and the retry-via-resubmit path both write to the queue without announcing anything.</t>
  </si>
  <si>
    <t>A client watching the hub sees a retried document sit motionless until Chunking — the progress bar the stage events exist to drive is wrong at exactly the moment a doctor is watching a recovery.</t>
  </si>
  <si>
    <t>FIXED. The defect was structural, not two missing calls: queueing and announcing were separate steps, so every path had to remember both. There is now one way in — IngestionQueue.EnqueueAsync announces and enqueues together — and all four call sites use it: fresh submit, retry endpoint, retry-via-resubmit, and startup recovery. IngestionsController no longer holds the channel or the publisher at all. Reruns carry only an ingestion id, so the doctor and patient come from a new GetIdentityAsync reading the record's own columns rather than deserializing the payload and its whole transcript. Startup recovery announces too: after a crash is exactly when someone is watching a bar that will not move. This also closed a latent ordering race — the old code published Queued AFTER writing to the channel, so a worker could announce Chunking before it; EnqueueAsync publishes first. Verified by disabling the publish: exactly the three announcement-dependent tests failed and the two that do not care kept passing.</t>
  </si>
  <si>
    <t>B05</t>
  </si>
  <si>
    <t>Domain / Identity</t>
  </si>
  <si>
    <t>sessionId uniqueness is unconfirmed, and documentId depends on it</t>
  </si>
  <si>
    <t>documentId is sessionId#sequenceNumber and contains no patient. Whether sessionId is globally unique or unique only within a patient has never been confirmed by the backend team. Chunk deletion and supersede are defensively patient-scoped and the content hash covers patientId, so the code as it stands is safe either way.</t>
  </si>
  <si>
    <t>T25 (DELETE /documents/{documentId}) receives an identifier with no patient in it. If session ids are unique only per patient, that endpoint deletes another patient's clinical data. It cannot be written safely until this is answered.</t>
  </si>
  <si>
    <t>FIXED by decision: the document key is doctorId + patientId + sessionId + sequenceNumber, and all four are carried in the identifier itself (doctorId#patientId#sessionId#sequenceNumber). The id now answers 'whose document is this?' on its own, so DELETE /documents/{documentId} is safe without knowing whether session ids are globally unique — T25 is unblocked and no longer depends on the answer. Every query that asks whether two submissions are the same document matches on all four: in-flight detection, duplicate detection, the rerun staleness check, supersede, and the patient-list collapse (leave the doctor out of that last one and two doctors' transcripts of a session merge into one row). Stored chunk ids were rewritten by the DocumentIdCarriesDoctorAndPatient migration — a prefix prepend, no parsing. NOTE: putting the doctor in the key means two doctors filing the same patient, session and sequence hold two separate documents and neither supersedes the other — pinned by a test. Right if a session belongs to the doctor who recorded it; wrong if the same encounter can arrive under a different doctor account (locum, colleague re-filing a correction, or an unstable service account), where a correction would become a duplicate. Worth confirming with the backend team.</t>
  </si>
  <si>
    <t>B06</t>
  </si>
  <si>
    <t>Security</t>
  </si>
  <si>
    <t>doctorId and patientId are filters, not access boundaries</t>
  </si>
  <si>
    <t>GET /ingestions takes doctorId as a query parameter and GET /patients/{patientId}/documents takes the patient in the path, with nothing tying either to the caller. The API secret authenticates the backend, not a doctor.</t>
  </si>
  <si>
    <t>Any holder of the shared secret can read any doctor's ingestions or any patient's document list by changing a parameter. That may be precisely the intended trust model — but the parameters read like access control and are not.</t>
  </si>
  <si>
    <t>DECIDED AND CLOSED: the backend is the trust boundary. This service authenticates its caller and trusts it to decide which doctor may ask for what — already the recorded decision in ADR-0007, so no new ADR was written; a second copy of a decision only invites drift. No authorization was added. What did change is that the code no longer reads like access control when it is not: doctorId on GET /ingestions is documented as a filter with no user identity behind it to check against, and GET /patients/{patientId}/documents gains an optional doctorId filter of its own — needed now that the doctor is part of the document key (B05), because a patient seen by two doctors otherwise returns both doctors' transcripts with no way to narrow. Left optional rather than required: the patient's whole record is a legitimate thing for a trusted backend to ask for, and forcing a scope would narrow the endpoint's meaning. Covered by a test asserting unfiltered returns both doctors, filtered returns one, and an unknown doctor returns none.</t>
  </si>
  <si>
    <t>B07</t>
  </si>
  <si>
    <t>Security / Realtime</t>
  </si>
  <si>
    <t>Status events are broadcast to every connected client</t>
  </si>
  <si>
    <t>IngestionStatusPublisher sends on hub.Clients.All, so every event — carrying doctorId and patientId — reaches every connection holding the shared secret.</t>
  </si>
  <si>
    <t>Correct while there is a single trusted backend consumer, which is today's design. The moment a second consumer connects, each backend sees the other's patient identifiers.</t>
  </si>
  <si>
    <t>Send to a group keyed by doctorId, with clients joining their own group on connect, so routing is enforced by the hub rather than by the consumer's good behaviour.</t>
  </si>
  <si>
    <t>Skipped</t>
  </si>
  <si>
    <t>B08</t>
  </si>
  <si>
    <t>Live Status / Contract</t>
  </si>
  <si>
    <t>Status events carry no documentId</t>
  </si>
  <si>
    <t>IngestionStatusEvent carries IngestionId, DoctorId, PatientId, Stage, ErrorMessage and OccurredAt — but no documentId, sessionId or sequenceNumber. The resync list (GET /ingestions) has the same gap: IngestionSummary carries the document's parts but not the assembled documentId, so every consumer rebuilds it by hand.</t>
  </si>
  <si>
    <t>A client wanting to say 'the transcript from Tuesday failed' must call back to map an ingestionId to a document. Cheap to add now; a breaking change once the backend has integrated against it.</t>
  </si>
  <si>
    <t>FIXED by decision: events now carry documentId and sessionId, and the resync list carries documentId too, so both halves of the gap are closed. PublishAsync was changed to take the whole IngestionIdentity rather than loose ids, which means a caller cannot announce a stage while leaving out what the stage is about — the shape of the call enforces it rather than the discipline of whoever adds the next one. IngestionIdentity gained the document's parts and assembles the id itself, so events, the resync list and the patient document list all name a document identically and no consumer rebuilds the string. Two incidental improvements: the failure path now reads the record's own columns instead of deserializing the stored payload — announcing a failure no longer opens a whole transcript to find two strings — and the resync query materializes before assembling ids, since that is C# no database can run. Verified by setting the id to a wrong value: exactly the three assertions that depend on it failed, and nothing else did.</t>
  </si>
  <si>
    <t>B09</t>
  </si>
  <si>
    <t>Document identity match treats two null session ids as equal</t>
  </si>
  <si>
    <t>SupersedePreviousVersionAsync and the retry staleness check compare SessionId and SequenceNumber column-to-column. EF Core rewrites that comparison to include the both-null case, so two documents that each lack a session id would match on DocumentType and PatientId alone.</t>
  </si>
  <si>
    <t>Cannot fire today: only transcripts exist and they always carry a session id. It becomes real with the first document type that has no session — doctor notes are next — and would then supersede unrelated documents.</t>
  </si>
  <si>
    <t>FIXED. Document identity is now an explicit per-type expression (DocumentIdentity.For) materialised into the stored document_id column; supersede and the retry staleness check match on document_id, not the raw nullable (SessionId, SequenceNumber) tuple. Folded into T28 (DoctorNote) - the first type without a session - so two session-less documents can no longer match on DocumentType + PatientId alone. No migration.</t>
  </si>
  <si>
    <t>B10</t>
  </si>
  <si>
    <t>Orphaned work waits for a restart, because recovery is startup-only</t>
  </si>
  <si>
    <t>FindUnfinishedAsync runs once, at startup. Now that an instance skips an ingestion another instance owns (B03), a document whose owner dies after the skip is not picked up by the instance that skipped it — it waits until some instance restarts. Every instance also still enumerates every unfinished row at startup and loads it into its own channel, so N instances each do a pass only one of them can use.</t>
  </si>
  <si>
    <t>Not a regression — recovery was startup-only before — but B03 changed who notices. A doctor's upload can sit unfinished for as long as the fleet stays up, with the progress bar showing Processing and nothing working on it. The wasted startup passes are harmless today and get louder with each replica.</t>
  </si>
  <si>
    <t>FIXED. Recovery is now IngestionRecoverySweep, a background service whose first pass runs as the host starts — replacing the startup enumeration in Program.cs — and which then re-scans every Ingestion:RecoverySweepInterval (default 5 minutes) for as long as the instance lives. Abandoned is not a guess about elapsed time: an ingestion is being worked on exactly while someone holds its advisory lock, and a lock belongs to a database session, so a process that dies stops holding it immediately and without having to admit anything. Unfinished AND unlocked therefore means abandoned — no lease to expire, no timeout to be wrong about, the same reasoning that chose an advisory lock in B03. The sweep reads pg_locks for granted two-key advisory locks in the current database (the single-key space is the migration lock and is excluded) and requeues every unfinished ingestion it does not find there, through IngestionQueue so the Queued announcement B04 introduced still happens. Every instance can sweep at once: the worst an extra pass costs is a queue entry some worker picks up, fails to lock, and drops. Rows are read before locks deliberately — the other order lets work claimed and released between the two reads look owned and lose a whole interval. NOTE: this is what made B14 reachable in the ordinary course of events rather than as a narrow race, so B14 had to be fixed alongside it. NOTE: the test kills the owning instance by dropping an UNPOOLED connection. Closing a pooled one hands the session back to Npgsql instead of ending it, and the DISCARD ALL that would release its advisory locks is deferred until something reuses the connection — so a pooled 'death' goes on holding the lock and proves nothing. Verified by cutting the sweep back to its first pass only: exactly one test failed, which also confirmed that first pass fully replaces the old startup enumeration.</t>
  </si>
  <si>
    <t>B11</t>
  </si>
  <si>
    <t>Chunking / Robustness</t>
  </si>
  <si>
    <t>A truncated code fence crashes chunk-plan parsing</t>
  </si>
  <si>
    <t>StripCodeFences assumes a fenced response is closed. When the model returns an opening fence with no closing one, LastIndexOf("```") finds the opening fence itself, so the slice runs from after the first newline back to index 0 and throws ArgumentOutOfRangeException. Reproduced directly: '```json\n{"chunks":[{"startLine":0' throws "length ('-8') must be a non-negative value".</t>
  </si>
  <si>
    <t>The throw is an ArgumentOutOfRangeException, which the surrounding catch (JsonException) does not catch — so it escapes RequestChunkPlanAsync and the ONE corrective retry designed for exactly this case never runs. The ingestion fails with a message about a negative length, which tells a doctor nothing and points an engineer at the wrong place. The likely trigger is an answer cut off at the output-token limit, which a long transcript makes more likely, not less.</t>
  </si>
  <si>
    <t>FIXED. StripCodeFences now removes the opening fence first and looks for a closing one only in what remains, so it can never find the opening fence and slice backwards. A response with no closing fence is handed to the parser whole, fails as unreadable JSON, and reaches the corrective retry the design always intended for a bad answer. The method no longer throws for any input, null included, so the narrow catch (JsonException) was kept rather than widened — a bad answer from the model is expected and handled, a defect in our own code should still be loud. Bonus: a plan whose closing fence the model merely forgot is now read successfully instead of discarded, since nothing but the fence was missing. Three tests: a truncated answer gets its retry and completes; two truncated answers fail naming the model rather than a string index; an unclosed but complete plan is read with no retry at all. Edge cases re-checked separately — fence-only, empty, null, and a ``` sequence inside a JSON string value.</t>
  </si>
  <si>
    <t>B12</t>
  </si>
  <si>
    <t>API key comparison reveals the length of a valid key</t>
  </si>
  <si>
    <t>The handler compares with CryptographicOperations.FixedTimeEquals, whose fixed-time guarantee holds only for equal-length inputs — it returns false immediately when lengths differ. The comment beside it says the comparison is fixed time so that timing cannot narrow the secret, which is true of the content but not of the length.</t>
  </si>
  <si>
    <t>An attacker who can time requests can learn how long a valid key is, narrowing a brute-force search. Small on its own, and the keys are long random secrets, but the code states a property it does not quite have — which is how a reviewer stops looking.</t>
  </si>
  <si>
    <t>FIXED. The comparison now runs on SHA-256 digests rather than the keys themselves: two digests are always 32 bytes, so FixedTimeEquals never short-circuits on length and there is nothing left for the timing to expose. Every configured key is still checked even after one matches, for the same reason. Configuration is still read per request, which is what lets a rotated key take effect without a restart. The constant-time property is structural and not something a timing assertion could test without being flaky, so what the tests pin is the behaviour it must not have broken: six candidates — empty, one character, one short, one long, a valid key used as a prefix, and right length but wrong content — are all refused, and both rotation keys still work.</t>
  </si>
  <si>
    <t>B13</t>
  </si>
  <si>
    <t>Worker / Configuration</t>
  </si>
  <si>
    <t>WorkerCount can exceed the connection pool and deadlock startup</t>
  </si>
  <si>
    <t>Introduced by the B03 fix: every in-flight ingestion now holds a dedicated Npgsql connection for the whole run, to keep its advisory lock alive, on top of the connections EF uses. Ingestion:WorkerCount is configurable and the connection string sets no MaxPoolSize, so the ceiling is Npgsql's default of 100 shared between both.</t>
  </si>
  <si>
    <t>Harmless at the default of 4. Raise WorkerCount toward 100 — the obvious lever when ingestion looks slow — and workers exhaust the pool holding locks while EF waits for a connection that only they can release. It would present as the service hanging under load, with nothing in the logs naming the cause.</t>
  </si>
  <si>
    <t>FIXED. Program.cs now refuses to start when Ingestion:WorkerCount could claim more than half the connection pool, budgeting two connections per worker: the one carrying its advisory lock for the whole run, and one for the database work inside it. The message names both settings and says which to change. Checked at startup rather than discovered under load, because raising the worker count is the obvious thing to try when ingestion looks slow and the failure it caused would have been the service hanging with nothing in the logs to explain it — the same fail-fast treatment the missing API secret already gets. Verified by disabling the guard and confirming the test then reports no exception thrown.</t>
  </si>
  <si>
    <t>B14</t>
  </si>
  <si>
    <t>Worker / Recovery</t>
  </si>
  <si>
    <t>A queue entry that outlives its run re-runs an ingestion that has already finished</t>
  </si>
  <si>
    <t>TryClaimAsync gated only on Attempts &lt; maxAttempts and never on status. Recovery hands one ingestion id to more than one instance by design, and the advisory lock stops two of them running it at the same time — but not one of them arriving after the other has finished. The lock is free by then, so the late worker claims a Completed ingestion and runs the entire pipeline over again. (IngestionStore.cs)</t>
  </si>
  <si>
    <t>The rerun ends in CompleteWithChunksAsync, which supersedes the previous version of the document — so where a correction landed after the original completed, the correction is superseded by the very version it replaced. That is B01's failure mode reached through a different door, and just as silent: clinical text reverts to wording a doctor had already retracted, with nothing reporting an error. Reachable before B10 through two instances' startup recovery; the periodic sweep turns that narrow race into an ordinary event.</t>
  </si>
  <si>
    <t>FIXED. The claim condition now carries the status next to the attempt count, inside the same UPDATE, so only an ingestion that is still Queued or Processing can be taken — the same condition FindUnfinishedAsync selects on, because what is recoverable and what is runnable are the same set. TryClaimAsync returns a ClaimOutcome rather than a bool, because the two refusals must not be conflated: attempts spent is a document that has to be failed, while no longer claimable is work that is simply not this worker's any more. Reporting the second as the first would mark a finished ingestion Failed and tell the doctor it had exhausted attempts it never used. The worker logs that case at debug and moves on, exactly as it already did for an ingestion another instance holds. The lock settles who runs an ingestion now; the status settles whether it still needs running at all. Verified by removing the status condition: exactly one test failed.</t>
  </si>
  <si>
    <t>B15</t>
  </si>
  <si>
    <t>Chunking / Quality</t>
  </si>
  <si>
    <t>Splitting an oversized chunk can leave a fragment below the size floor</t>
  </si>
  <si>
    <t>ChunkSizeGuardrails.Apply is SplitOversized(MergeUndersized(...)), so the merge pass runs before the split and never sees what the split produces. LastLineOfNextPart recomputes an even-size target for each part, which reduces starved tails but does not prevent one: a short trailing line falls through as a part of its own. Demonstrated end to end at the test thresholds (floor 12 tokens, ceiling 40) with three lines of 156/156/8 characters submitted as a single planned chunk — the stored chunks came out at 39, 39 and 2 tokens. (ChunkSizeGuardrails.cs)</t>
  </si>
  <si>
    <t>A 2-token chunk is precisely what the floor exists to prevent: it carries almost no retrievable meaning and occupies a retrieval slot a fuller chunk would have used. The damage is bounded — a split part inherits its parent range's context blurb, so what gets embedded is not literally three words — which makes this retrieval quality rather than correctness. The sharper problem is that the comment on LastLineOfNextPart states the guarantee outright ('so a split never leaves a starved tail that the merge pass would undo'), and a comment claiming a property the code does not have is how a reviewer stops looking. B12 read the same way.</t>
  </si>
  <si>
    <t>Fold a final part that lands below the floor back into the part before it, inside the same original chunk. That is a local fix with an obvious termination argument, and it accepts a part slightly over the ceiling — already the documented trade, since verbatim completeness outranks both limits. Resist the tidier-looking 'run merge and split to a fixed point': merging is allowed to push a chunk over the ceiling, so a naive loop of the two passes has no termination argument. Whatever is done, weaken the comment to what the code actually promises. Worth taking alongside other chunking work rather than on its own.</t>
  </si>
  <si>
    <t>Open</t>
  </si>
  <si>
    <t>B16</t>
  </si>
  <si>
    <t>documentId joins unvalidated ids with '#' and has no inverse</t>
  </si>
  <si>
    <t>DocumentIdentity.For joins doctorId, patientId, sessionId and sequenceNumber with '#', and IngestionRequestValidation excludes that character from none of them. doctorId 'a' with patientId 'b#c' and doctorId 'a#b' with patientId 'c' therefore assemble the same identifier. DocumentIdentity has For and no inverse. (PatientDocument.cs)</t>
  </si>
  <si>
    <t>Nothing is corrupt today: every query asking whether two submissions are the same document matches on the columns rather than on the assembled string, and the chunk delete still carries the patient-scoped predicate B05 deliberately kept. It becomes real with T25, DELETE /documents/{documentId}, which receives the identifier alone and must split it back into four parts — and would then either refuse legitimate ids or address the wrong document. That is the very endpoint B05's key decision was made to unblock, so the question B05 answered is only half settled: the id carries its whole scope, but not unambiguously.</t>
  </si>
  <si>
    <t>Settle it before T25 is written rather than during. Cheapest is to reject '#' in doctorId, patientId and sessionId at IngestionRequestValidation: the existing format then parses with a plain split, at the cost of constraining identifiers the backend owns — so it needs the backend team's agreement, and belongs in the same conversation as the doctorId question B05 left open. Otherwise encode each part before joining (percent- or base64url-encoding), which needs nobody's agreement but rewrites every stored chunk id and so needs a migration like the one B05 already required. Either way add DocumentIdentity.Parse next to For, so the round trip lives in one place and the delete endpoint cannot invent its own. UPDATE (T25): un-ingest was built the stored-id way rather than the parsing way — ingestions now carry a document_id column, written by DocumentIdentity.For on create and backfilled by migration, and DELETE /documents/{documentId} matches chunks and ingestion rows by that exact string. No parser was added and the delete path never splits the id, so the parse-ambiguity half of this bug cannot bite it. What remains is the root cause: '#' is still not excluded from doctorId/patientId/sessionId, so two different component tuples can still assemble the SAME document_id and an exact-string match would then act on both. Lower probability than the parse case, same worst outcome (touching another patient's data), so this stays Open at Medium. The fix is unchanged and still needs the backend team: reject '#' in the id parts at validation (which also closes the collision), or encode the parts before joining. DocumentIdentity.Parse was deliberately NOT added, since nothing now needs it. Also surfaced by T25: documentId contains '#', a URL fragment delimiter, so the caller must percent-encode it in the path (documented in the endpoint's Swagger remarks).</t>
  </si>
  <si>
    <t>B17</t>
  </si>
  <si>
    <t>Startup / Concurrency</t>
  </si>
  <si>
    <t>Agent-instruction seeding runs outside the migration lock</t>
  </si>
  <si>
    <t>Program.cs migrates under the SchemaMigrationKey advisory lock but releases it before seeding the agent instructions from code defaults. Seeding writes rows keyed by agent name, so two instances deploying at once against a fresh (unseeded) database both read the table empty and both INSERT the defaults; the second SaveChanges then violates the agent_instructions primary key. (Program.cs)</t>
  </si>
  <si>
    <t>A rolling deploy against a brand-new database crashes one instance on startup with a duplicate-key error, at exactly the worst moment (first deploy) and with a scary log. Steady state is safe (both instances see the existing rows and skip) and a crash-restart self-heals once the table is seeded, which is why it is Low - but the migration right above it is already serialized for precisely this reason, and the seed that belongs with it was not.</t>
  </si>
  <si>
    <t>FIXED. The seed write moved inside the same advisory-lock block as the migration, so the instance that takes the lock second sees the first's seed and skips it. The singleton Load() stays outside the lock - it is a read into each instance's own memory, no cross-instance write. Verified by a concurrent-startup test that boots five instances against a fresh container at once: with the lock released it reproduced the '23505 duplicate key value violates unique constraint PK_agent_instructions' crash 3/3, and it passes with the seed held under the lock.</t>
  </si>
  <si>
    <t>B18</t>
  </si>
  <si>
    <t>Concurrency / Correctness</t>
  </si>
  <si>
    <t>Single-in-flight-per-identity is an app check, not a DB constraint</t>
  </si>
  <si>
    <t>Two ingestions of the same document identity must never process at once, or their CompleteWithChunksAsync transactions race to write the chunk set. This is enforced only by the submit-time FindInFlightAsync check (IngestionsController.Submit) - a TOCTOU: two truly-simultaneous duplicate POSTs can both pass it before either creates its row. The per-ingestion advisory lock is keyed by ingestionId, so two different rows for the same identity get different keys and do not exclude each other, and transactions default to READ COMMITTED, so neither commit sees the other's uncommitted chunks.</t>
  </si>
  <si>
    <t>Under concurrent duplicate submissions both runs can insert, producing duplicate chunk sets for one document - the exact corruption the concurrency guard (T15) exists to prevent, surfacing as the chat quoting the same passage twice. The window is narrow (between FindInFlight and CreateQueued, then both must process and commit overlapping) and ConcurrentSubmissionTests only covers sequential submit-then-submit, so it is untested. Not a regression - pre-existing since T15.</t>
  </si>
  <si>
    <t>Enforce it in the database rather than by a check: a partial unique index on (document_type, doctor_id, patient_id, session_id, sequence_number) WHERE status IN ('Queued','Processing'), so Postgres rejects the second in-flight row and the duplicate submit translates to the existing 409. Interacts with the retry-via-resubmit path and the recovery sweep, which both re-queue an existing row rather than insert, so the index predicate and those status transitions need checking together - worth a short design pass before implementing, and a decision to flag like B16.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</si>
</sst>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0"/>
      <color rgb="FFFFFFFF"/>
      <name val="Arial"/>
      <family val="2"/>
      <charset val="161"/>
    </font>
    <font>
      <sz val="10"/>
      <name val="Arial"/>
      <family val="2"/>
      <charset val="161"/>
    </font>
    <font>
      <b/>
      <sz val="10"/>
      <name val="Arial"/>
      <family val="2"/>
      <charset val="161"/>
    </font>
    <font>
      <b/>
      <sz val="10"/>
      <color rgb="FF006100"/>
      <name val="Arial"/>
      <family val="2"/>
      <charset val="161"/>
    </font>
    <font>
      <sz val="10"/>
      <color rgb="FF595959"/>
      <name val="Arial"/>
      <family val="2"/>
      <charset val="161"/>
    </font>
    <font>
      <b/>
      <sz val="16"/>
      <color rgb="FF000000"/>
      <name val="Arial"/>
      <family val="2"/>
      <charset val="161"/>
    </font>
    <font>
      <sz val="10"/>
      <color rgb="FF000000"/>
      <name val="Arial"/>
      <family val="2"/>
      <charset val="161"/>
    </font>
    <font>
      <b/>
      <sz val="12"/>
      <color rgb="FF000000"/>
      <name val="Arial"/>
      <family val="2"/>
      <charset val="161"/>
    </font>
    <font>
      <b/>
      <sz val="10"/>
      <color rgb="FF9C6500"/>
      <name val="Arial"/>
      <family val="2"/>
      <charset val="161"/>
    </font>
    <font>
      <b/>
      <sz val="10"/>
      <color rgb="FF000000"/>
      <name val="Arial"/>
      <family val="2"/>
      <charset val="161"/>
    </font>
    <font>
      <b/>
      <sz val="10"/>
      <color rgb="FFFFFFFF"/>
      <name val="Arial"/>
      <family val="2"/>
      <charset val="161"/>
    </font>
    <font>
      <b/>
      <sz val="10"/>
      <name val="Arial"/>
      <family val="2"/>
      <charset val="161"/>
    </font>
    <font>
      <sz val="10"/>
      <name val="Arial"/>
      <family val="2"/>
      <charset val="161"/>
    </font>
    <font>
      <b/>
      <sz val="10"/>
      <color rgb="FF9C0006"/>
      <name val="Arial"/>
      <family val="2"/>
      <charset val="161"/>
    </font>
    <font>
      <b/>
      <sz val="10"/>
      <color rgb="FF006100"/>
      <name val="Arial"/>
      <family val="2"/>
      <charset val="161"/>
    </font>
    <font>
      <b/>
      <sz val="10"/>
      <color rgb="FF9C6500"/>
      <name val="Arial"/>
      <family val="2"/>
      <charset val="161"/>
    </font>
    <font>
      <b/>
      <sz val="10"/>
      <color rgb="FF595959"/>
      <name val="Arial"/>
      <family val="2"/>
      <charset val="161"/>
    </font>
    <font>
      <b/>
      <sz val="10"/>
      <color rgb="FF006100"/>
      <name val="Arial"/>
      <family val="2"/>
      <charset val="161"/>
    </font>
    <font>
      <b/>
      <sz val="10"/>
      <name val="Arial"/>
      <family val="2"/>
      <charset val="161"/>
    </font>
    <font>
      <sz val="10"/>
      <name val="Arial"/>
      <family val="2"/>
      <charset val="161"/>
    </font>
    <font>
      <b/>
      <sz val="10"/>
      <color rgb="FF595959"/>
      <name val="Arial"/>
      <family val="2"/>
      <charset val="161"/>
    </font>
    <font>
      <b/>
      <sz val="10"/>
      <color rgb="FF006100"/>
      <name val="Arial"/>
      <family val="2"/>
      <charset val="161"/>
    </font>
    <font>
      <b/>
      <sz val="10"/>
      <name val="Arial"/>
      <family val="2"/>
      <charset val="161"/>
    </font>
    <font>
      <sz val="10"/>
      <name val="Arial"/>
      <family val="2"/>
      <charset val="161"/>
    </font>
    <font>
      <b/>
      <sz val="10"/>
      <color rgb="FF9C6500"/>
      <name val="Arial"/>
      <family val="2"/>
      <charset val="161"/>
    </font>
    <font>
      <b/>
      <sz val="10"/>
      <color rgb="FF595959"/>
      <name val="Arial"/>
      <family val="2"/>
      <charset val="161"/>
    </font>
    <font>
      <b/>
      <sz val="10"/>
      <color rgb="FF006100"/>
      <name val="Arial"/>
      <family val="2"/>
      <charset val="161"/>
    </font>
    <font>
      <b/>
      <sz val="10"/>
      <color rgb="FF006100"/>
      <name val="Calibri"/>
      <family val="2"/>
      <charset val="161"/>
    </font>
    <font>
      <b/>
      <sz val="10"/>
      <color rgb="FF9C0006"/>
      <name val="Calibri"/>
      <family val="2"/>
      <charset val="161"/>
    </font>
    <font>
      <b/>
      <sz val="10"/>
      <color rgb="FF595959"/>
      <name val="Calibri"/>
      <family val="2"/>
      <charset val="161"/>
    </font>
    <font>
      <sz val="10"/>
      <color rgb="FF595959"/>
      <name val="Calibri"/>
      <family val="2"/>
      <charset val="161"/>
    </font>
    <font>
      <b/>
      <sz val="10"/>
      <color rgb="FF9C6500"/>
      <name val="Calibri"/>
      <family val="2"/>
      <charset val="161"/>
    </font>
    <font>
      <b/>
      <sz val="10"/>
      <color rgb="FF595959"/>
      <name val="Calibri"/>
      <family val="2"/>
      <charset val="161"/>
    </font>
    <font>
      <b/>
      <sz val="10"/>
      <color rgb="FF006100"/>
      <name val="Calibri"/>
      <family val="2"/>
      <charset val="161"/>
    </font>
    <font>
      <b/>
      <sz val="10"/>
      <color rgb="FF9C6500"/>
      <name val="Calibri"/>
      <family val="2"/>
      <charset val="161"/>
    </font>
    <font>
      <sz val="10"/>
      <color rgb="FF595959"/>
      <name val="Calibri"/>
      <family val="2"/>
      <charset val="161"/>
    </font>
    <font>
      <b/>
      <sz val="10"/>
      <color rgb="FF006100"/>
      <name val="Arial"/>
    </font>
  </fonts>
  <fills count="7">
    <fill>
      <patternFill patternType="none"/>
    </fill>
    <fill>
      <patternFill patternType="gray125"/>
    </fill>
    <fill>
      <patternFill patternType="solid">
        <fgColor rgb="FF1F3864"/>
      </patternFill>
    </fill>
    <fill>
      <patternFill patternType="solid">
        <fgColor rgb="FFC6EFCE"/>
      </patternFill>
    </fill>
    <fill>
      <patternFill patternType="solid">
        <fgColor rgb="FFF2F2F2"/>
      </patternFill>
    </fill>
    <fill>
      <patternFill patternType="solid">
        <fgColor rgb="FFFFEB9C"/>
      </patternFill>
    </fill>
    <fill>
      <patternFill patternType="solid">
        <fgColor rgb="FFFFC7CE"/>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51">
    <xf numFmtId="0" fontId="0" fillId="0" borderId="0" xfId="0"/>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4" fillId="3" borderId="0" xfId="0" applyFont="1" applyFill="1" applyAlignment="1">
      <alignment vertical="top" wrapText="1"/>
    </xf>
    <xf numFmtId="0" fontId="9" fillId="5" borderId="0" xfId="0" applyFont="1" applyFill="1" applyAlignment="1">
      <alignment vertical="top" wrapText="1"/>
    </xf>
    <xf numFmtId="0" fontId="5" fillId="4" borderId="0" xfId="0" applyFont="1" applyFill="1" applyAlignment="1">
      <alignment vertical="top" wrapText="1"/>
    </xf>
    <xf numFmtId="0" fontId="1" fillId="2" borderId="1" xfId="0" applyFont="1" applyFill="1" applyBorder="1" applyAlignment="1">
      <alignment vertical="top" wrapText="1"/>
    </xf>
    <xf numFmtId="0" fontId="7" fillId="0" borderId="1" xfId="0" applyFont="1" applyBorder="1" applyAlignment="1">
      <alignment vertical="top" wrapText="1"/>
    </xf>
    <xf numFmtId="0" fontId="2" fillId="0" borderId="1" xfId="0" applyFont="1" applyBorder="1" applyAlignment="1">
      <alignment horizontal="center"/>
    </xf>
    <xf numFmtId="0" fontId="10" fillId="0" borderId="1" xfId="0" applyFont="1" applyBorder="1" applyAlignment="1">
      <alignment vertical="top" wrapText="1"/>
    </xf>
    <xf numFmtId="0" fontId="3" fillId="0" borderId="1" xfId="0" applyFont="1" applyBorder="1" applyAlignment="1">
      <alignment horizontal="center"/>
    </xf>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4" fillId="3" borderId="1" xfId="0" applyFont="1" applyFill="1" applyBorder="1" applyAlignment="1">
      <alignment horizontal="center" vertical="top"/>
    </xf>
    <xf numFmtId="0" fontId="5" fillId="4" borderId="1" xfId="0" applyFont="1" applyFill="1" applyBorder="1" applyAlignment="1">
      <alignment horizontal="center" vertical="top"/>
    </xf>
    <xf numFmtId="0" fontId="11" fillId="2" borderId="0" xfId="0" applyFont="1" applyFill="1" applyAlignment="1">
      <alignment vertical="center" wrapText="1"/>
    </xf>
    <xf numFmtId="0" fontId="12" fillId="0" borderId="0" xfId="0" applyFont="1" applyAlignment="1">
      <alignment vertical="top" wrapText="1"/>
    </xf>
    <xf numFmtId="0" fontId="13" fillId="0" borderId="0" xfId="0" applyFont="1" applyAlignment="1">
      <alignment vertical="top" wrapText="1"/>
    </xf>
    <xf numFmtId="0" fontId="14" fillId="6" borderId="0" xfId="0" applyFont="1" applyFill="1" applyAlignment="1">
      <alignment horizontal="center" vertical="top"/>
    </xf>
    <xf numFmtId="0" fontId="15" fillId="3" borderId="0" xfId="0" applyFont="1" applyFill="1" applyAlignment="1">
      <alignment vertical="top"/>
    </xf>
    <xf numFmtId="0" fontId="16" fillId="5" borderId="0" xfId="0" applyFont="1" applyFill="1" applyAlignment="1">
      <alignment horizontal="center" vertical="top"/>
    </xf>
    <xf numFmtId="0" fontId="17" fillId="4" borderId="0" xfId="0" applyFont="1" applyFill="1" applyAlignment="1">
      <alignment horizontal="center" vertical="top"/>
    </xf>
    <xf numFmtId="0" fontId="18" fillId="3" borderId="0" xfId="0" applyFont="1" applyFill="1" applyAlignment="1">
      <alignment vertical="top"/>
    </xf>
    <xf numFmtId="0" fontId="19" fillId="0" borderId="0" xfId="0" applyFont="1" applyAlignment="1">
      <alignment vertical="top" wrapText="1"/>
    </xf>
    <xf numFmtId="0" fontId="20" fillId="0" borderId="0" xfId="0" applyFont="1" applyAlignment="1">
      <alignment vertical="top" wrapText="1"/>
    </xf>
    <xf numFmtId="0" fontId="21" fillId="4" borderId="0" xfId="0" applyFont="1" applyFill="1" applyAlignment="1">
      <alignment horizontal="center" vertical="top"/>
    </xf>
    <xf numFmtId="0" fontId="22" fillId="3" borderId="0" xfId="0" applyFont="1" applyFill="1" applyAlignment="1">
      <alignment vertical="top"/>
    </xf>
    <xf numFmtId="0" fontId="23" fillId="0" borderId="0" xfId="0" applyFont="1" applyAlignment="1">
      <alignment vertical="top" wrapText="1"/>
    </xf>
    <xf numFmtId="0" fontId="24" fillId="0" borderId="0" xfId="0" applyFont="1" applyAlignment="1">
      <alignment vertical="top" wrapText="1"/>
    </xf>
    <xf numFmtId="0" fontId="25" fillId="5" borderId="0" xfId="0" applyFont="1" applyFill="1" applyAlignment="1">
      <alignment horizontal="center" vertical="top"/>
    </xf>
    <xf numFmtId="0" fontId="26" fillId="4" borderId="0" xfId="0" applyFont="1" applyFill="1" applyAlignment="1">
      <alignment horizontal="center" vertical="top"/>
    </xf>
    <xf numFmtId="0" fontId="9" fillId="5" borderId="0" xfId="0" applyFont="1" applyFill="1" applyAlignment="1">
      <alignment vertical="top"/>
    </xf>
    <xf numFmtId="0" fontId="27" fillId="3" borderId="0" xfId="0" applyFont="1" applyFill="1" applyAlignment="1">
      <alignment vertical="top"/>
    </xf>
    <xf numFmtId="0" fontId="28" fillId="3" borderId="0" xfId="0" applyFont="1" applyFill="1" applyAlignment="1">
      <alignment vertical="top"/>
    </xf>
    <xf numFmtId="0" fontId="29" fillId="6" borderId="0" xfId="0" applyFont="1" applyFill="1" applyAlignment="1">
      <alignment horizontal="center" vertical="top"/>
    </xf>
    <xf numFmtId="0" fontId="30" fillId="4" borderId="0" xfId="0" applyFont="1" applyFill="1" applyAlignment="1">
      <alignment horizontal="center" vertical="top"/>
    </xf>
    <xf numFmtId="0" fontId="31" fillId="4" borderId="0" xfId="0" applyFont="1" applyFill="1" applyAlignment="1">
      <alignment vertical="top"/>
    </xf>
    <xf numFmtId="0" fontId="32" fillId="5" borderId="0" xfId="0" applyFont="1" applyFill="1" applyAlignment="1">
      <alignment horizontal="center" vertical="top"/>
    </xf>
    <xf numFmtId="0" fontId="22" fillId="3" borderId="1" xfId="0" applyFont="1" applyFill="1" applyBorder="1" applyAlignment="1">
      <alignment horizontal="center" vertical="top"/>
    </xf>
    <xf numFmtId="0" fontId="33" fillId="4" borderId="0" xfId="0" applyFont="1" applyFill="1" applyAlignment="1">
      <alignment horizontal="center" vertical="top"/>
    </xf>
    <xf numFmtId="0" fontId="34" fillId="3" borderId="0" xfId="0" applyFont="1" applyFill="1" applyAlignment="1">
      <alignment vertical="top"/>
    </xf>
    <xf numFmtId="0" fontId="35" fillId="5" borderId="0" xfId="0" applyFont="1" applyFill="1" applyAlignment="1">
      <alignment horizontal="center" vertical="top"/>
    </xf>
    <xf numFmtId="0" fontId="36" fillId="4" borderId="0" xfId="0" applyFont="1" applyFill="1" applyAlignment="1">
      <alignment vertical="top"/>
    </xf>
    <xf numFmtId="0" fontId="37" fillId="3" borderId="1" xfId="0" applyFont="1" applyFill="1" applyBorder="1" applyAlignment="1">
      <alignment horizontal="center" vertical="top"/>
    </xf>
    <xf numFmtId="0" fontId="23" fillId="0" borderId="1" xfId="0" applyFont="1" applyBorder="1" applyAlignment="1">
      <alignment vertical="top" wrapText="1"/>
    </xf>
    <xf numFmtId="0" fontId="24" fillId="0" borderId="1" xfId="0" applyFont="1" applyBorder="1" applyAlignment="1">
      <alignment vertical="top" wrapText="1"/>
    </xf>
    <xf numFmtId="0" fontId="37" fillId="3" borderId="0" xfId="0" applyFont="1" applyFill="1" applyAlignment="1">
      <alignment vertical="top"/>
    </xf>
    <xf numFmtId="0" fontId="7" fillId="0" borderId="0" xfId="0" applyFont="1" applyAlignment="1">
      <alignment vertical="top" wrapText="1"/>
    </xf>
    <xf numFmtId="0" fontId="0" fillId="0" borderId="0" xfId="0"/>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8"/>
  <sheetViews>
    <sheetView showGridLines="0" workbookViewId="0"/>
  </sheetViews>
  <sheetFormatPr defaultRowHeight="15" x14ac:dyDescent="0.25"/>
  <cols>
    <col min="1" max="1" width="3" customWidth="1"/>
    <col min="2" max="2" width="46" customWidth="1"/>
    <col min="3" max="5" width="12" customWidth="1"/>
    <col min="6" max="8" width="14" customWidth="1"/>
  </cols>
  <sheetData>
    <row r="2" spans="2:8" ht="40.5" customHeight="1" x14ac:dyDescent="0.25">
      <c r="B2" s="1" t="s">
        <v>0</v>
      </c>
    </row>
    <row r="3" spans="2:8" x14ac:dyDescent="0.25">
      <c r="B3" s="49" t="s">
        <v>1</v>
      </c>
      <c r="C3" s="50"/>
      <c r="D3" s="50"/>
      <c r="E3" s="50"/>
      <c r="F3" s="50"/>
      <c r="G3" s="50"/>
      <c r="H3" s="50"/>
    </row>
    <row r="4" spans="2:8" x14ac:dyDescent="0.25">
      <c r="B4" s="50"/>
      <c r="C4" s="50"/>
      <c r="D4" s="50"/>
      <c r="E4" s="50"/>
      <c r="F4" s="50"/>
      <c r="G4" s="50"/>
      <c r="H4" s="50"/>
    </row>
    <row r="5" spans="2:8" x14ac:dyDescent="0.25">
      <c r="B5" s="50"/>
      <c r="C5" s="50"/>
      <c r="D5" s="50"/>
      <c r="E5" s="50"/>
      <c r="F5" s="50"/>
      <c r="G5" s="50"/>
      <c r="H5" s="50"/>
    </row>
    <row r="6" spans="2:8" x14ac:dyDescent="0.25">
      <c r="B6" s="50"/>
      <c r="C6" s="50"/>
      <c r="D6" s="50"/>
      <c r="E6" s="50"/>
      <c r="F6" s="50"/>
      <c r="G6" s="50"/>
      <c r="H6" s="50"/>
    </row>
    <row r="8" spans="2:8" ht="31.5" customHeight="1" x14ac:dyDescent="0.25">
      <c r="B8" s="3" t="s">
        <v>2</v>
      </c>
    </row>
    <row r="9" spans="2:8" ht="38.25" customHeight="1" x14ac:dyDescent="0.25">
      <c r="B9" s="2" t="s">
        <v>3</v>
      </c>
    </row>
    <row r="10" spans="2:8" ht="38.25" customHeight="1" x14ac:dyDescent="0.25">
      <c r="B10" s="2" t="s">
        <v>4</v>
      </c>
    </row>
    <row r="11" spans="2:8" ht="25.5" customHeight="1" x14ac:dyDescent="0.25">
      <c r="B11" s="2" t="s">
        <v>5</v>
      </c>
    </row>
    <row r="13" spans="2:8" ht="15.75" customHeight="1" x14ac:dyDescent="0.25">
      <c r="B13" s="3" t="s">
        <v>6</v>
      </c>
    </row>
    <row r="14" spans="2:8" x14ac:dyDescent="0.25">
      <c r="B14" s="4" t="s">
        <v>7</v>
      </c>
    </row>
    <row r="15" spans="2:8" x14ac:dyDescent="0.25">
      <c r="B15" s="5" t="s">
        <v>8</v>
      </c>
    </row>
    <row r="16" spans="2:8" x14ac:dyDescent="0.25">
      <c r="B16" s="6" t="s">
        <v>9</v>
      </c>
    </row>
    <row r="18" spans="2:5" ht="15.75" customHeight="1" x14ac:dyDescent="0.25">
      <c r="B18" s="3" t="s">
        <v>10</v>
      </c>
    </row>
    <row r="19" spans="2:5" x14ac:dyDescent="0.25">
      <c r="B19" s="7" t="s">
        <v>11</v>
      </c>
      <c r="C19" s="7" t="s">
        <v>12</v>
      </c>
      <c r="D19" s="7" t="s">
        <v>7</v>
      </c>
      <c r="E19" s="7" t="s">
        <v>13</v>
      </c>
    </row>
    <row r="20" spans="2:5" x14ac:dyDescent="0.25">
      <c r="B20" s="8" t="s">
        <v>14</v>
      </c>
      <c r="C20" s="9">
        <f>COUNTIF(Tasks!$B$2:$B$999,B20)</f>
        <v>2</v>
      </c>
      <c r="D20" s="9">
        <f>COUNTIFS(Tasks!$B$2:$B$999,B20,Tasks!$G$2:$G$999,"Completed")</f>
        <v>2</v>
      </c>
      <c r="E20" s="9">
        <f t="shared" ref="E20:E27" si="0">C20-D20</f>
        <v>0</v>
      </c>
    </row>
    <row r="21" spans="2:5" x14ac:dyDescent="0.25">
      <c r="B21" s="8" t="s">
        <v>15</v>
      </c>
      <c r="C21" s="9">
        <f>COUNTIF(Tasks!$B$2:$B$999,B21)</f>
        <v>11</v>
      </c>
      <c r="D21" s="9">
        <f>COUNTIFS(Tasks!$B$2:$B$999,B21,Tasks!$G$2:$G$999,"Completed")</f>
        <v>11</v>
      </c>
      <c r="E21" s="9">
        <f t="shared" si="0"/>
        <v>0</v>
      </c>
    </row>
    <row r="22" spans="2:5" x14ac:dyDescent="0.25">
      <c r="B22" s="8" t="s">
        <v>16</v>
      </c>
      <c r="C22" s="9">
        <f>COUNTIF(Tasks!$B$2:$B$999,B22)</f>
        <v>6</v>
      </c>
      <c r="D22" s="9">
        <f>COUNTIFS(Tasks!$B$2:$B$999,B22,Tasks!$G$2:$G$999,"Completed")</f>
        <v>6</v>
      </c>
      <c r="E22" s="9">
        <f t="shared" si="0"/>
        <v>0</v>
      </c>
    </row>
    <row r="23" spans="2:5" x14ac:dyDescent="0.25">
      <c r="B23" s="8" t="s">
        <v>17</v>
      </c>
      <c r="C23" s="9">
        <f>COUNTIF(Tasks!$B$2:$B$999,B23)</f>
        <v>2</v>
      </c>
      <c r="D23" s="9">
        <f>COUNTIFS(Tasks!$B$2:$B$999,B23,Tasks!$G$2:$G$999,"Completed")</f>
        <v>2</v>
      </c>
      <c r="E23" s="9">
        <f t="shared" si="0"/>
        <v>0</v>
      </c>
    </row>
    <row r="24" spans="2:5" x14ac:dyDescent="0.25">
      <c r="B24" s="8" t="s">
        <v>18</v>
      </c>
      <c r="C24" s="9">
        <f>COUNTIF(Tasks!$B$2:$B$999,B24)</f>
        <v>2</v>
      </c>
      <c r="D24" s="9">
        <f>COUNTIFS(Tasks!$B$2:$B$999,B24,Tasks!$G$2:$G$999,"Completed")</f>
        <v>2</v>
      </c>
      <c r="E24" s="9">
        <f t="shared" si="0"/>
        <v>0</v>
      </c>
    </row>
    <row r="25" spans="2:5" x14ac:dyDescent="0.25">
      <c r="B25" s="8" t="s">
        <v>19</v>
      </c>
      <c r="C25" s="9">
        <f>COUNTIF(Tasks!$B$2:$B$999,B25)</f>
        <v>3</v>
      </c>
      <c r="D25" s="9">
        <f>COUNTIFS(Tasks!$B$2:$B$999,B25,Tasks!$G$2:$G$999,"Completed")</f>
        <v>3</v>
      </c>
      <c r="E25" s="9">
        <f t="shared" si="0"/>
        <v>0</v>
      </c>
    </row>
    <row r="26" spans="2:5" x14ac:dyDescent="0.25">
      <c r="B26" s="8" t="s">
        <v>20</v>
      </c>
      <c r="C26" s="9">
        <f>COUNTIF(Tasks!$B$2:$B$999,B26)</f>
        <v>6</v>
      </c>
      <c r="D26" s="9">
        <f>COUNTIFS(Tasks!$B$2:$B$999,B26,Tasks!$G$2:$G$999,"Completed")</f>
        <v>6</v>
      </c>
      <c r="E26" s="9">
        <f t="shared" si="0"/>
        <v>0</v>
      </c>
    </row>
    <row r="27" spans="2:5" x14ac:dyDescent="0.25">
      <c r="B27" s="8" t="s">
        <v>21</v>
      </c>
      <c r="C27" s="9">
        <f>COUNTIF(Tasks!$B$2:$B$999,B27)</f>
        <v>5</v>
      </c>
      <c r="D27" s="9">
        <f>COUNTIFS(Tasks!$B$2:$B$999,B27,Tasks!$G$2:$G$999,"Completed")</f>
        <v>3</v>
      </c>
      <c r="E27" s="9">
        <f t="shared" si="0"/>
        <v>2</v>
      </c>
    </row>
    <row r="28" spans="2:5" x14ac:dyDescent="0.25">
      <c r="B28" s="10" t="s">
        <v>22</v>
      </c>
      <c r="C28" s="11">
        <f>SUM(C20:C27)</f>
        <v>37</v>
      </c>
      <c r="D28" s="11">
        <f>SUM(D20:D27)</f>
        <v>35</v>
      </c>
      <c r="E28" s="11">
        <f>SUM(E20:E27)</f>
        <v>2</v>
      </c>
    </row>
  </sheetData>
  <mergeCells count="1">
    <mergeCell ref="B3:H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tabSelected="1" workbookViewId="0">
      <pane ySplit="1" topLeftCell="A28" activePane="bottomLeft" state="frozen"/>
      <selection pane="bottomLeft" activeCell="G28" sqref="G28:G29"/>
    </sheetView>
  </sheetViews>
  <sheetFormatPr defaultRowHeight="15" x14ac:dyDescent="0.25"/>
  <cols>
    <col min="1" max="1" width="7" customWidth="1"/>
    <col min="2" max="2" width="24" customWidth="1"/>
    <col min="3" max="3" width="30" customWidth="1"/>
    <col min="4" max="4" width="66" customWidth="1"/>
    <col min="5" max="5" width="54" customWidth="1"/>
    <col min="6" max="6" width="11" customWidth="1"/>
    <col min="7" max="7" width="13" customWidth="1"/>
  </cols>
  <sheetData>
    <row r="1" spans="1:7" ht="26.1" customHeight="1" x14ac:dyDescent="0.25">
      <c r="A1" s="12" t="s">
        <v>23</v>
      </c>
      <c r="B1" s="12" t="s">
        <v>11</v>
      </c>
      <c r="C1" s="12" t="s">
        <v>24</v>
      </c>
      <c r="D1" s="12" t="s">
        <v>25</v>
      </c>
      <c r="E1" s="12" t="s">
        <v>26</v>
      </c>
      <c r="F1" s="12" t="s">
        <v>27</v>
      </c>
      <c r="G1" s="12" t="s">
        <v>28</v>
      </c>
    </row>
    <row r="2" spans="1:7" ht="38.25" customHeight="1" x14ac:dyDescent="0.25">
      <c r="A2" s="13" t="s">
        <v>29</v>
      </c>
      <c r="B2" s="14" t="s">
        <v>14</v>
      </c>
      <c r="C2" s="14" t="s">
        <v>30</v>
      </c>
      <c r="D2" s="14" t="s">
        <v>31</v>
      </c>
      <c r="E2" s="14" t="s">
        <v>32</v>
      </c>
      <c r="F2" s="14"/>
      <c r="G2" s="15" t="s">
        <v>7</v>
      </c>
    </row>
    <row r="3" spans="1:7" ht="38.25" customHeight="1" x14ac:dyDescent="0.25">
      <c r="A3" s="13" t="s">
        <v>33</v>
      </c>
      <c r="B3" s="14" t="s">
        <v>14</v>
      </c>
      <c r="C3" s="14" t="s">
        <v>34</v>
      </c>
      <c r="D3" s="14" t="s">
        <v>35</v>
      </c>
      <c r="E3" s="14" t="s">
        <v>36</v>
      </c>
      <c r="F3" s="14" t="s">
        <v>29</v>
      </c>
      <c r="G3" s="15" t="s">
        <v>7</v>
      </c>
    </row>
    <row r="4" spans="1:7" ht="51" customHeight="1" x14ac:dyDescent="0.25">
      <c r="A4" s="13" t="s">
        <v>37</v>
      </c>
      <c r="B4" s="14" t="s">
        <v>15</v>
      </c>
      <c r="C4" s="14" t="s">
        <v>38</v>
      </c>
      <c r="D4" s="14" t="s">
        <v>39</v>
      </c>
      <c r="E4" s="14" t="s">
        <v>40</v>
      </c>
      <c r="F4" s="14" t="s">
        <v>33</v>
      </c>
      <c r="G4" s="15" t="s">
        <v>7</v>
      </c>
    </row>
    <row r="5" spans="1:7" ht="38.25" customHeight="1" x14ac:dyDescent="0.25">
      <c r="A5" s="13" t="s">
        <v>41</v>
      </c>
      <c r="B5" s="14" t="s">
        <v>15</v>
      </c>
      <c r="C5" s="14" t="s">
        <v>42</v>
      </c>
      <c r="D5" s="14" t="s">
        <v>43</v>
      </c>
      <c r="E5" s="14" t="s">
        <v>44</v>
      </c>
      <c r="F5" s="14" t="s">
        <v>37</v>
      </c>
      <c r="G5" s="15" t="s">
        <v>7</v>
      </c>
    </row>
    <row r="6" spans="1:7" ht="38.25" customHeight="1" x14ac:dyDescent="0.25">
      <c r="A6" s="13" t="s">
        <v>45</v>
      </c>
      <c r="B6" s="14" t="s">
        <v>15</v>
      </c>
      <c r="C6" s="14" t="s">
        <v>46</v>
      </c>
      <c r="D6" s="14" t="s">
        <v>47</v>
      </c>
      <c r="E6" s="14" t="s">
        <v>48</v>
      </c>
      <c r="F6" s="14" t="s">
        <v>41</v>
      </c>
      <c r="G6" s="15" t="s">
        <v>7</v>
      </c>
    </row>
    <row r="7" spans="1:7" ht="51" customHeight="1" x14ac:dyDescent="0.25">
      <c r="A7" s="13" t="s">
        <v>49</v>
      </c>
      <c r="B7" s="14" t="s">
        <v>15</v>
      </c>
      <c r="C7" s="14" t="s">
        <v>50</v>
      </c>
      <c r="D7" s="14" t="s">
        <v>51</v>
      </c>
      <c r="E7" s="14" t="s">
        <v>52</v>
      </c>
      <c r="F7" s="14" t="s">
        <v>45</v>
      </c>
      <c r="G7" s="15" t="s">
        <v>7</v>
      </c>
    </row>
    <row r="8" spans="1:7" ht="25.5" customHeight="1" x14ac:dyDescent="0.25">
      <c r="A8" s="13" t="s">
        <v>53</v>
      </c>
      <c r="B8" s="14" t="s">
        <v>15</v>
      </c>
      <c r="C8" s="14" t="s">
        <v>54</v>
      </c>
      <c r="D8" s="14" t="s">
        <v>55</v>
      </c>
      <c r="E8" s="14" t="s">
        <v>56</v>
      </c>
      <c r="F8" s="14" t="s">
        <v>37</v>
      </c>
      <c r="G8" s="15" t="s">
        <v>7</v>
      </c>
    </row>
    <row r="9" spans="1:7" ht="25.5" customHeight="1" x14ac:dyDescent="0.25">
      <c r="A9" s="13" t="s">
        <v>57</v>
      </c>
      <c r="B9" s="14" t="s">
        <v>15</v>
      </c>
      <c r="C9" s="14" t="s">
        <v>58</v>
      </c>
      <c r="D9" s="14" t="s">
        <v>59</v>
      </c>
      <c r="E9" s="14" t="s">
        <v>60</v>
      </c>
      <c r="F9" s="14" t="s">
        <v>37</v>
      </c>
      <c r="G9" s="15" t="s">
        <v>7</v>
      </c>
    </row>
    <row r="10" spans="1:7" ht="25.5" customHeight="1" x14ac:dyDescent="0.25">
      <c r="A10" s="13" t="s">
        <v>61</v>
      </c>
      <c r="B10" s="14" t="s">
        <v>15</v>
      </c>
      <c r="C10" s="14" t="s">
        <v>62</v>
      </c>
      <c r="D10" s="14" t="s">
        <v>63</v>
      </c>
      <c r="E10" s="14" t="s">
        <v>64</v>
      </c>
      <c r="F10" s="14" t="s">
        <v>57</v>
      </c>
      <c r="G10" s="15" t="s">
        <v>7</v>
      </c>
    </row>
    <row r="11" spans="1:7" ht="63.75" customHeight="1" x14ac:dyDescent="0.25">
      <c r="A11" s="13" t="s">
        <v>65</v>
      </c>
      <c r="B11" s="14" t="s">
        <v>15</v>
      </c>
      <c r="C11" s="14" t="s">
        <v>66</v>
      </c>
      <c r="D11" s="14" t="s">
        <v>67</v>
      </c>
      <c r="E11" s="14" t="s">
        <v>68</v>
      </c>
      <c r="F11" s="14" t="s">
        <v>45</v>
      </c>
      <c r="G11" s="15" t="s">
        <v>7</v>
      </c>
    </row>
    <row r="12" spans="1:7" ht="51" customHeight="1" x14ac:dyDescent="0.25">
      <c r="A12" s="13" t="s">
        <v>69</v>
      </c>
      <c r="B12" s="14" t="s">
        <v>15</v>
      </c>
      <c r="C12" s="14" t="s">
        <v>70</v>
      </c>
      <c r="D12" s="14" t="s">
        <v>71</v>
      </c>
      <c r="E12" s="14" t="s">
        <v>72</v>
      </c>
      <c r="F12" s="14" t="s">
        <v>45</v>
      </c>
      <c r="G12" s="15" t="s">
        <v>7</v>
      </c>
    </row>
    <row r="13" spans="1:7" ht="38.25" customHeight="1" x14ac:dyDescent="0.25">
      <c r="A13" s="13" t="s">
        <v>73</v>
      </c>
      <c r="B13" s="14" t="s">
        <v>15</v>
      </c>
      <c r="C13" s="14" t="s">
        <v>74</v>
      </c>
      <c r="D13" s="14" t="s">
        <v>75</v>
      </c>
      <c r="E13" s="14" t="s">
        <v>76</v>
      </c>
      <c r="F13" s="14" t="s">
        <v>69</v>
      </c>
      <c r="G13" s="15" t="s">
        <v>7</v>
      </c>
    </row>
    <row r="14" spans="1:7" ht="38.25" customHeight="1" x14ac:dyDescent="0.25">
      <c r="A14" s="13" t="s">
        <v>77</v>
      </c>
      <c r="B14" s="14" t="s">
        <v>15</v>
      </c>
      <c r="C14" s="14" t="s">
        <v>78</v>
      </c>
      <c r="D14" s="14" t="s">
        <v>79</v>
      </c>
      <c r="E14" s="14" t="s">
        <v>80</v>
      </c>
      <c r="F14" s="14" t="s">
        <v>37</v>
      </c>
      <c r="G14" s="15" t="s">
        <v>7</v>
      </c>
    </row>
    <row r="15" spans="1:7" ht="51" customHeight="1" x14ac:dyDescent="0.25">
      <c r="A15" s="13" t="s">
        <v>81</v>
      </c>
      <c r="B15" s="14" t="s">
        <v>16</v>
      </c>
      <c r="C15" s="14" t="s">
        <v>82</v>
      </c>
      <c r="D15" s="14" t="s">
        <v>83</v>
      </c>
      <c r="E15" s="14" t="s">
        <v>84</v>
      </c>
      <c r="F15" s="14" t="s">
        <v>77</v>
      </c>
      <c r="G15" s="15" t="s">
        <v>7</v>
      </c>
    </row>
    <row r="16" spans="1:7" ht="38.25" customHeight="1" x14ac:dyDescent="0.25">
      <c r="A16" s="13" t="s">
        <v>85</v>
      </c>
      <c r="B16" s="14" t="s">
        <v>16</v>
      </c>
      <c r="C16" s="14" t="s">
        <v>86</v>
      </c>
      <c r="D16" s="14" t="s">
        <v>87</v>
      </c>
      <c r="E16" s="14" t="s">
        <v>88</v>
      </c>
      <c r="F16" s="14" t="s">
        <v>77</v>
      </c>
      <c r="G16" s="15" t="s">
        <v>7</v>
      </c>
    </row>
    <row r="17" spans="1:7" ht="38.25" customHeight="1" x14ac:dyDescent="0.25">
      <c r="A17" s="13" t="s">
        <v>89</v>
      </c>
      <c r="B17" s="14" t="s">
        <v>16</v>
      </c>
      <c r="C17" s="14" t="s">
        <v>90</v>
      </c>
      <c r="D17" s="14" t="s">
        <v>91</v>
      </c>
      <c r="E17" s="14" t="s">
        <v>92</v>
      </c>
      <c r="F17" s="14" t="s">
        <v>93</v>
      </c>
      <c r="G17" s="15" t="s">
        <v>7</v>
      </c>
    </row>
    <row r="18" spans="1:7" ht="38.25" customHeight="1" x14ac:dyDescent="0.25">
      <c r="A18" s="13" t="s">
        <v>94</v>
      </c>
      <c r="B18" s="14" t="s">
        <v>16</v>
      </c>
      <c r="C18" s="14" t="s">
        <v>95</v>
      </c>
      <c r="D18" s="14" t="s">
        <v>96</v>
      </c>
      <c r="E18" s="14" t="s">
        <v>97</v>
      </c>
      <c r="F18" s="14" t="s">
        <v>89</v>
      </c>
      <c r="G18" s="15" t="s">
        <v>7</v>
      </c>
    </row>
    <row r="19" spans="1:7" ht="38.25" customHeight="1" x14ac:dyDescent="0.25">
      <c r="A19" s="13" t="s">
        <v>98</v>
      </c>
      <c r="B19" s="14" t="s">
        <v>16</v>
      </c>
      <c r="C19" s="14" t="s">
        <v>99</v>
      </c>
      <c r="D19" s="14" t="s">
        <v>100</v>
      </c>
      <c r="E19" s="14" t="s">
        <v>101</v>
      </c>
      <c r="F19" s="14" t="s">
        <v>41</v>
      </c>
      <c r="G19" s="15" t="s">
        <v>7</v>
      </c>
    </row>
    <row r="20" spans="1:7" ht="38.25" customHeight="1" x14ac:dyDescent="0.25">
      <c r="A20" s="13" t="s">
        <v>102</v>
      </c>
      <c r="B20" s="14" t="s">
        <v>16</v>
      </c>
      <c r="C20" s="14" t="s">
        <v>103</v>
      </c>
      <c r="D20" s="14" t="s">
        <v>104</v>
      </c>
      <c r="E20" s="14" t="s">
        <v>105</v>
      </c>
      <c r="F20" s="14" t="s">
        <v>98</v>
      </c>
      <c r="G20" s="15" t="s">
        <v>7</v>
      </c>
    </row>
    <row r="21" spans="1:7" ht="38.25" customHeight="1" x14ac:dyDescent="0.25">
      <c r="A21" s="13" t="s">
        <v>106</v>
      </c>
      <c r="B21" s="14" t="s">
        <v>17</v>
      </c>
      <c r="C21" s="14" t="s">
        <v>107</v>
      </c>
      <c r="D21" s="14" t="s">
        <v>108</v>
      </c>
      <c r="E21" s="14" t="s">
        <v>109</v>
      </c>
      <c r="F21" s="14" t="s">
        <v>37</v>
      </c>
      <c r="G21" s="15" t="s">
        <v>7</v>
      </c>
    </row>
    <row r="22" spans="1:7" ht="38.25" customHeight="1" x14ac:dyDescent="0.25">
      <c r="A22" s="13" t="s">
        <v>110</v>
      </c>
      <c r="B22" s="14" t="s">
        <v>17</v>
      </c>
      <c r="C22" s="14" t="s">
        <v>111</v>
      </c>
      <c r="D22" s="14" t="s">
        <v>112</v>
      </c>
      <c r="E22" s="14" t="s">
        <v>113</v>
      </c>
      <c r="F22" s="14" t="s">
        <v>106</v>
      </c>
      <c r="G22" s="15" t="s">
        <v>7</v>
      </c>
    </row>
    <row r="23" spans="1:7" ht="38.25" customHeight="1" x14ac:dyDescent="0.25">
      <c r="A23" s="13" t="s">
        <v>114</v>
      </c>
      <c r="B23" s="14" t="s">
        <v>18</v>
      </c>
      <c r="C23" s="14" t="s">
        <v>115</v>
      </c>
      <c r="D23" s="14" t="s">
        <v>116</v>
      </c>
      <c r="E23" s="14" t="s">
        <v>117</v>
      </c>
      <c r="F23" s="14" t="s">
        <v>110</v>
      </c>
      <c r="G23" s="15" t="s">
        <v>7</v>
      </c>
    </row>
    <row r="24" spans="1:7" ht="25.5" customHeight="1" x14ac:dyDescent="0.25">
      <c r="A24" s="13" t="s">
        <v>118</v>
      </c>
      <c r="B24" s="14" t="s">
        <v>18</v>
      </c>
      <c r="C24" s="14" t="s">
        <v>119</v>
      </c>
      <c r="D24" s="14" t="s">
        <v>120</v>
      </c>
      <c r="E24" s="14" t="s">
        <v>121</v>
      </c>
      <c r="F24" s="14" t="s">
        <v>106</v>
      </c>
      <c r="G24" s="15" t="s">
        <v>7</v>
      </c>
    </row>
    <row r="25" spans="1:7" ht="25.5" customHeight="1" x14ac:dyDescent="0.25">
      <c r="A25" s="13" t="s">
        <v>122</v>
      </c>
      <c r="B25" s="14" t="s">
        <v>19</v>
      </c>
      <c r="C25" s="14" t="s">
        <v>123</v>
      </c>
      <c r="D25" s="14" t="s">
        <v>124</v>
      </c>
      <c r="E25" s="14" t="s">
        <v>125</v>
      </c>
      <c r="F25" s="14" t="s">
        <v>106</v>
      </c>
      <c r="G25" s="15" t="s">
        <v>7</v>
      </c>
    </row>
    <row r="26" spans="1:7" ht="38.25" customHeight="1" x14ac:dyDescent="0.25">
      <c r="A26" s="13" t="s">
        <v>126</v>
      </c>
      <c r="B26" s="14" t="s">
        <v>19</v>
      </c>
      <c r="C26" s="14" t="s">
        <v>127</v>
      </c>
      <c r="D26" s="14" t="s">
        <v>128</v>
      </c>
      <c r="E26" s="14" t="s">
        <v>129</v>
      </c>
      <c r="F26" s="14" t="s">
        <v>122</v>
      </c>
      <c r="G26" s="40" t="s">
        <v>7</v>
      </c>
    </row>
    <row r="27" spans="1:7" ht="38.25" customHeight="1" x14ac:dyDescent="0.25">
      <c r="A27" s="13" t="s">
        <v>130</v>
      </c>
      <c r="B27" s="14" t="s">
        <v>19</v>
      </c>
      <c r="C27" s="14" t="s">
        <v>131</v>
      </c>
      <c r="D27" s="14" t="s">
        <v>132</v>
      </c>
      <c r="E27" s="14" t="s">
        <v>133</v>
      </c>
      <c r="F27" s="14" t="s">
        <v>134</v>
      </c>
      <c r="G27" s="40" t="s">
        <v>7</v>
      </c>
    </row>
    <row r="28" spans="1:7" ht="51" customHeight="1" x14ac:dyDescent="0.25">
      <c r="A28" s="13" t="s">
        <v>135</v>
      </c>
      <c r="B28" s="14" t="s">
        <v>20</v>
      </c>
      <c r="C28" s="14" t="s">
        <v>136</v>
      </c>
      <c r="D28" s="14" t="s">
        <v>137</v>
      </c>
      <c r="E28" s="14" t="s">
        <v>138</v>
      </c>
      <c r="F28" s="14" t="s">
        <v>77</v>
      </c>
      <c r="G28" s="40" t="s">
        <v>7</v>
      </c>
    </row>
    <row r="29" spans="1:7" ht="38.25" customHeight="1" x14ac:dyDescent="0.25">
      <c r="A29" s="13" t="s">
        <v>139</v>
      </c>
      <c r="B29" s="14" t="s">
        <v>20</v>
      </c>
      <c r="C29" s="14" t="s">
        <v>140</v>
      </c>
      <c r="D29" s="14" t="s">
        <v>141</v>
      </c>
      <c r="E29" s="14" t="s">
        <v>142</v>
      </c>
      <c r="F29" s="14" t="s">
        <v>143</v>
      </c>
      <c r="G29" s="40" t="s">
        <v>7</v>
      </c>
    </row>
    <row r="30" spans="1:7" ht="51" customHeight="1" x14ac:dyDescent="0.25">
      <c r="A30" s="13" t="s">
        <v>144</v>
      </c>
      <c r="B30" s="14" t="s">
        <v>20</v>
      </c>
      <c r="C30" s="14" t="s">
        <v>145</v>
      </c>
      <c r="D30" s="14" t="s">
        <v>146</v>
      </c>
      <c r="E30" s="14" t="s">
        <v>147</v>
      </c>
      <c r="F30" s="14" t="s">
        <v>135</v>
      </c>
      <c r="G30" s="45" t="s">
        <v>7</v>
      </c>
    </row>
    <row r="31" spans="1:7" ht="38.25" customHeight="1" x14ac:dyDescent="0.25">
      <c r="A31" s="13" t="s">
        <v>148</v>
      </c>
      <c r="B31" s="14" t="s">
        <v>20</v>
      </c>
      <c r="C31" s="14" t="s">
        <v>149</v>
      </c>
      <c r="D31" s="14" t="s">
        <v>150</v>
      </c>
      <c r="E31" s="14" t="s">
        <v>151</v>
      </c>
      <c r="F31" s="14" t="s">
        <v>144</v>
      </c>
      <c r="G31" s="45" t="s">
        <v>7</v>
      </c>
    </row>
    <row r="32" spans="1:7" ht="63.75" customHeight="1" x14ac:dyDescent="0.25">
      <c r="A32" s="13" t="s">
        <v>152</v>
      </c>
      <c r="B32" s="14" t="s">
        <v>20</v>
      </c>
      <c r="C32" s="14" t="s">
        <v>153</v>
      </c>
      <c r="D32" s="14" t="s">
        <v>154</v>
      </c>
      <c r="E32" s="14" t="s">
        <v>155</v>
      </c>
      <c r="F32" s="14" t="s">
        <v>148</v>
      </c>
      <c r="G32" s="45" t="s">
        <v>7</v>
      </c>
    </row>
    <row r="33" spans="1:7" ht="25.5" customHeight="1" x14ac:dyDescent="0.25">
      <c r="A33" s="13" t="s">
        <v>156</v>
      </c>
      <c r="B33" s="14" t="s">
        <v>20</v>
      </c>
      <c r="C33" s="14" t="s">
        <v>157</v>
      </c>
      <c r="D33" s="14" t="s">
        <v>158</v>
      </c>
      <c r="E33" s="14" t="s">
        <v>159</v>
      </c>
      <c r="F33" s="14" t="s">
        <v>144</v>
      </c>
      <c r="G33" s="45" t="s">
        <v>7</v>
      </c>
    </row>
    <row r="34" spans="1:7" ht="63.75" customHeight="1" x14ac:dyDescent="0.25">
      <c r="A34" s="13" t="s">
        <v>160</v>
      </c>
      <c r="B34" s="14" t="s">
        <v>21</v>
      </c>
      <c r="C34" s="14" t="s">
        <v>161</v>
      </c>
      <c r="D34" s="14" t="s">
        <v>162</v>
      </c>
      <c r="E34" s="14" t="s">
        <v>163</v>
      </c>
      <c r="F34" s="14" t="s">
        <v>45</v>
      </c>
      <c r="G34" s="45" t="s">
        <v>7</v>
      </c>
    </row>
    <row r="35" spans="1:7" ht="25.5" customHeight="1" x14ac:dyDescent="0.25">
      <c r="A35" s="13" t="s">
        <v>164</v>
      </c>
      <c r="B35" s="14" t="s">
        <v>21</v>
      </c>
      <c r="C35" s="14" t="s">
        <v>165</v>
      </c>
      <c r="D35" s="14" t="s">
        <v>166</v>
      </c>
      <c r="E35" s="14" t="s">
        <v>167</v>
      </c>
      <c r="F35" s="14" t="s">
        <v>57</v>
      </c>
      <c r="G35" s="45" t="s">
        <v>7</v>
      </c>
    </row>
    <row r="36" spans="1:7" ht="63.75" customHeight="1" x14ac:dyDescent="0.25">
      <c r="A36" s="13" t="s">
        <v>168</v>
      </c>
      <c r="B36" s="14" t="s">
        <v>21</v>
      </c>
      <c r="C36" s="14" t="s">
        <v>169</v>
      </c>
      <c r="D36" s="14" t="s">
        <v>170</v>
      </c>
      <c r="E36" s="14" t="s">
        <v>171</v>
      </c>
      <c r="F36" s="14" t="s">
        <v>41</v>
      </c>
      <c r="G36" s="16" t="s">
        <v>9</v>
      </c>
    </row>
    <row r="37" spans="1:7" ht="38.25" customHeight="1" x14ac:dyDescent="0.25">
      <c r="A37" s="13" t="s">
        <v>172</v>
      </c>
      <c r="B37" s="14" t="s">
        <v>21</v>
      </c>
      <c r="C37" s="14" t="s">
        <v>173</v>
      </c>
      <c r="D37" s="14" t="s">
        <v>174</v>
      </c>
      <c r="E37" s="14" t="s">
        <v>175</v>
      </c>
      <c r="F37" s="14" t="s">
        <v>176</v>
      </c>
      <c r="G37" s="16" t="s">
        <v>9</v>
      </c>
    </row>
    <row r="38" spans="1:7" ht="105" customHeight="1" x14ac:dyDescent="0.25">
      <c r="A38" s="46" t="s">
        <v>177</v>
      </c>
      <c r="B38" s="47" t="s">
        <v>21</v>
      </c>
      <c r="C38" s="47" t="s">
        <v>178</v>
      </c>
      <c r="D38" s="47" t="s">
        <v>179</v>
      </c>
      <c r="E38" s="47" t="s">
        <v>180</v>
      </c>
      <c r="F38" s="47" t="s">
        <v>160</v>
      </c>
      <c r="G38" s="45" t="s">
        <v>7</v>
      </c>
    </row>
  </sheetData>
  <autoFilter ref="A1:G3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workbookViewId="0">
      <pane ySplit="1" topLeftCell="A16" activePane="bottomLeft" state="frozen"/>
      <selection pane="bottomLeft" activeCell="D17" sqref="D17"/>
    </sheetView>
  </sheetViews>
  <sheetFormatPr defaultRowHeight="15" x14ac:dyDescent="0.25"/>
  <cols>
    <col min="1" max="1" width="7" customWidth="1"/>
    <col min="2" max="2" width="22" customWidth="1"/>
    <col min="3" max="3" width="34" customWidth="1"/>
    <col min="4" max="4" width="11" customWidth="1"/>
    <col min="5" max="5" width="64" customWidth="1"/>
    <col min="6" max="6" width="48" customWidth="1"/>
    <col min="7" max="7" width="64" customWidth="1"/>
    <col min="8" max="8" width="15" customWidth="1"/>
  </cols>
  <sheetData>
    <row r="1" spans="1:8" ht="26.1" customHeight="1" x14ac:dyDescent="0.25">
      <c r="A1" s="17" t="s">
        <v>23</v>
      </c>
      <c r="B1" s="17" t="s">
        <v>181</v>
      </c>
      <c r="C1" s="17" t="s">
        <v>24</v>
      </c>
      <c r="D1" s="17" t="s">
        <v>182</v>
      </c>
      <c r="E1" s="17" t="s">
        <v>183</v>
      </c>
      <c r="F1" s="17" t="s">
        <v>184</v>
      </c>
      <c r="G1" s="17" t="s">
        <v>185</v>
      </c>
      <c r="H1" s="17" t="s">
        <v>28</v>
      </c>
    </row>
    <row r="2" spans="1:8" ht="120.75" customHeight="1" x14ac:dyDescent="0.25">
      <c r="A2" s="18" t="s">
        <v>186</v>
      </c>
      <c r="B2" s="19" t="s">
        <v>187</v>
      </c>
      <c r="C2" s="19" t="s">
        <v>188</v>
      </c>
      <c r="D2" s="20" t="s">
        <v>189</v>
      </c>
      <c r="E2" s="19" t="s">
        <v>190</v>
      </c>
      <c r="F2" s="19" t="s">
        <v>191</v>
      </c>
      <c r="G2" s="19" t="s">
        <v>192</v>
      </c>
      <c r="H2" s="21" t="s">
        <v>193</v>
      </c>
    </row>
    <row r="3" spans="1:8" ht="174.95" customHeight="1" x14ac:dyDescent="0.25">
      <c r="A3" s="18" t="s">
        <v>194</v>
      </c>
      <c r="B3" s="19" t="s">
        <v>195</v>
      </c>
      <c r="C3" s="19" t="s">
        <v>196</v>
      </c>
      <c r="D3" s="20" t="s">
        <v>189</v>
      </c>
      <c r="E3" s="19" t="s">
        <v>197</v>
      </c>
      <c r="F3" s="19" t="s">
        <v>198</v>
      </c>
      <c r="G3" s="19" t="s">
        <v>199</v>
      </c>
      <c r="H3" s="24" t="s">
        <v>193</v>
      </c>
    </row>
    <row r="4" spans="1:8" ht="174.95" customHeight="1" x14ac:dyDescent="0.25">
      <c r="A4" s="18" t="s">
        <v>200</v>
      </c>
      <c r="B4" s="19" t="s">
        <v>201</v>
      </c>
      <c r="C4" s="19" t="s">
        <v>202</v>
      </c>
      <c r="D4" s="22" t="s">
        <v>203</v>
      </c>
      <c r="E4" s="19" t="s">
        <v>204</v>
      </c>
      <c r="F4" s="19" t="s">
        <v>205</v>
      </c>
      <c r="G4" s="19" t="s">
        <v>206</v>
      </c>
      <c r="H4" s="24" t="s">
        <v>193</v>
      </c>
    </row>
    <row r="5" spans="1:8" ht="189.95" customHeight="1" x14ac:dyDescent="0.25">
      <c r="A5" s="18" t="s">
        <v>207</v>
      </c>
      <c r="B5" s="19" t="s">
        <v>208</v>
      </c>
      <c r="C5" s="19" t="s">
        <v>209</v>
      </c>
      <c r="D5" s="23" t="s">
        <v>210</v>
      </c>
      <c r="E5" s="19" t="s">
        <v>211</v>
      </c>
      <c r="F5" s="19" t="s">
        <v>212</v>
      </c>
      <c r="G5" s="19" t="s">
        <v>213</v>
      </c>
      <c r="H5" s="28" t="s">
        <v>193</v>
      </c>
    </row>
    <row r="6" spans="1:8" ht="189.95" customHeight="1" x14ac:dyDescent="0.25">
      <c r="A6" s="18" t="s">
        <v>214</v>
      </c>
      <c r="B6" s="19" t="s">
        <v>215</v>
      </c>
      <c r="C6" s="19" t="s">
        <v>216</v>
      </c>
      <c r="D6" s="20" t="s">
        <v>189</v>
      </c>
      <c r="E6" s="19" t="s">
        <v>217</v>
      </c>
      <c r="F6" s="19" t="s">
        <v>218</v>
      </c>
      <c r="G6" s="19" t="s">
        <v>219</v>
      </c>
      <c r="H6" s="28" t="s">
        <v>193</v>
      </c>
    </row>
    <row r="7" spans="1:8" ht="189.95" customHeight="1" x14ac:dyDescent="0.25">
      <c r="A7" s="18" t="s">
        <v>220</v>
      </c>
      <c r="B7" s="19" t="s">
        <v>221</v>
      </c>
      <c r="C7" s="19" t="s">
        <v>222</v>
      </c>
      <c r="D7" s="22" t="s">
        <v>203</v>
      </c>
      <c r="E7" s="19" t="s">
        <v>223</v>
      </c>
      <c r="F7" s="19" t="s">
        <v>224</v>
      </c>
      <c r="G7" s="19" t="s">
        <v>225</v>
      </c>
      <c r="H7" s="28" t="s">
        <v>193</v>
      </c>
    </row>
    <row r="8" spans="1:8" ht="57" customHeight="1" x14ac:dyDescent="0.25">
      <c r="A8" s="18" t="s">
        <v>226</v>
      </c>
      <c r="B8" s="19" t="s">
        <v>227</v>
      </c>
      <c r="C8" s="19" t="s">
        <v>228</v>
      </c>
      <c r="D8" s="22" t="s">
        <v>203</v>
      </c>
      <c r="E8" s="19" t="s">
        <v>229</v>
      </c>
      <c r="F8" s="19" t="s">
        <v>230</v>
      </c>
      <c r="G8" s="19" t="s">
        <v>231</v>
      </c>
      <c r="H8" s="33" t="s">
        <v>232</v>
      </c>
    </row>
    <row r="9" spans="1:8" ht="189.95" customHeight="1" x14ac:dyDescent="0.25">
      <c r="A9" s="18" t="s">
        <v>233</v>
      </c>
      <c r="B9" s="19" t="s">
        <v>234</v>
      </c>
      <c r="C9" s="19" t="s">
        <v>235</v>
      </c>
      <c r="D9" s="23" t="s">
        <v>210</v>
      </c>
      <c r="E9" s="19" t="s">
        <v>236</v>
      </c>
      <c r="F9" s="19" t="s">
        <v>237</v>
      </c>
      <c r="G9" s="19" t="s">
        <v>238</v>
      </c>
      <c r="H9" s="34" t="s">
        <v>193</v>
      </c>
    </row>
    <row r="10" spans="1:8" ht="69.75" customHeight="1" x14ac:dyDescent="0.25">
      <c r="A10" s="18" t="s">
        <v>239</v>
      </c>
      <c r="B10" s="19" t="s">
        <v>215</v>
      </c>
      <c r="C10" s="19" t="s">
        <v>240</v>
      </c>
      <c r="D10" s="23" t="s">
        <v>210</v>
      </c>
      <c r="E10" s="19" t="s">
        <v>241</v>
      </c>
      <c r="F10" s="19" t="s">
        <v>242</v>
      </c>
      <c r="G10" s="19" t="s">
        <v>243</v>
      </c>
      <c r="H10" s="48" t="s">
        <v>193</v>
      </c>
    </row>
    <row r="11" spans="1:8" ht="189.95" customHeight="1" x14ac:dyDescent="0.25">
      <c r="A11" s="25" t="s">
        <v>244</v>
      </c>
      <c r="B11" s="26" t="s">
        <v>201</v>
      </c>
      <c r="C11" s="26" t="s">
        <v>245</v>
      </c>
      <c r="D11" s="27" t="s">
        <v>210</v>
      </c>
      <c r="E11" s="26" t="s">
        <v>246</v>
      </c>
      <c r="F11" s="26" t="s">
        <v>247</v>
      </c>
      <c r="G11" s="26" t="s">
        <v>248</v>
      </c>
      <c r="H11" s="35" t="s">
        <v>193</v>
      </c>
    </row>
    <row r="12" spans="1:8" ht="189.95" customHeight="1" x14ac:dyDescent="0.25">
      <c r="A12" s="29" t="s">
        <v>249</v>
      </c>
      <c r="B12" s="30" t="s">
        <v>250</v>
      </c>
      <c r="C12" s="30" t="s">
        <v>251</v>
      </c>
      <c r="D12" s="31" t="s">
        <v>203</v>
      </c>
      <c r="E12" s="30" t="s">
        <v>252</v>
      </c>
      <c r="F12" s="30" t="s">
        <v>253</v>
      </c>
      <c r="G12" s="30" t="s">
        <v>254</v>
      </c>
      <c r="H12" s="28" t="s">
        <v>193</v>
      </c>
    </row>
    <row r="13" spans="1:8" ht="171.75" customHeight="1" x14ac:dyDescent="0.25">
      <c r="A13" s="29" t="s">
        <v>255</v>
      </c>
      <c r="B13" s="30" t="s">
        <v>221</v>
      </c>
      <c r="C13" s="30" t="s">
        <v>256</v>
      </c>
      <c r="D13" s="32" t="s">
        <v>210</v>
      </c>
      <c r="E13" s="30" t="s">
        <v>257</v>
      </c>
      <c r="F13" s="30" t="s">
        <v>258</v>
      </c>
      <c r="G13" s="30" t="s">
        <v>259</v>
      </c>
      <c r="H13" s="28" t="s">
        <v>193</v>
      </c>
    </row>
    <row r="14" spans="1:8" ht="159" customHeight="1" x14ac:dyDescent="0.25">
      <c r="A14" s="29" t="s">
        <v>260</v>
      </c>
      <c r="B14" s="30" t="s">
        <v>261</v>
      </c>
      <c r="C14" s="30" t="s">
        <v>262</v>
      </c>
      <c r="D14" s="32" t="s">
        <v>210</v>
      </c>
      <c r="E14" s="30" t="s">
        <v>263</v>
      </c>
      <c r="F14" s="30" t="s">
        <v>264</v>
      </c>
      <c r="G14" s="30" t="s">
        <v>265</v>
      </c>
      <c r="H14" s="28" t="s">
        <v>193</v>
      </c>
    </row>
    <row r="15" spans="1:8" ht="189.95" customHeight="1" x14ac:dyDescent="0.25">
      <c r="A15" s="29" t="s">
        <v>266</v>
      </c>
      <c r="B15" s="30" t="s">
        <v>267</v>
      </c>
      <c r="C15" s="30" t="s">
        <v>268</v>
      </c>
      <c r="D15" s="36" t="s">
        <v>189</v>
      </c>
      <c r="E15" s="30" t="s">
        <v>269</v>
      </c>
      <c r="F15" s="30" t="s">
        <v>270</v>
      </c>
      <c r="G15" s="30" t="s">
        <v>271</v>
      </c>
      <c r="H15" s="28" t="s">
        <v>193</v>
      </c>
    </row>
    <row r="16" spans="1:8" ht="184.5" customHeight="1" x14ac:dyDescent="0.25">
      <c r="A16" s="29" t="s">
        <v>272</v>
      </c>
      <c r="B16" s="30" t="s">
        <v>273</v>
      </c>
      <c r="C16" s="30" t="s">
        <v>274</v>
      </c>
      <c r="D16" s="37" t="s">
        <v>210</v>
      </c>
      <c r="E16" s="30" t="s">
        <v>275</v>
      </c>
      <c r="F16" s="30" t="s">
        <v>276</v>
      </c>
      <c r="G16" s="30" t="s">
        <v>277</v>
      </c>
      <c r="H16" s="38" t="s">
        <v>278</v>
      </c>
    </row>
    <row r="17" spans="1:8" ht="189.95" customHeight="1" x14ac:dyDescent="0.25">
      <c r="A17" s="29" t="s">
        <v>279</v>
      </c>
      <c r="B17" s="30" t="s">
        <v>215</v>
      </c>
      <c r="C17" s="30" t="s">
        <v>280</v>
      </c>
      <c r="D17" s="39" t="s">
        <v>203</v>
      </c>
      <c r="E17" s="30" t="s">
        <v>281</v>
      </c>
      <c r="F17" s="30" t="s">
        <v>282</v>
      </c>
      <c r="G17" s="30" t="s">
        <v>283</v>
      </c>
      <c r="H17" s="38" t="s">
        <v>278</v>
      </c>
    </row>
    <row r="18" spans="1:8" ht="133.5" customHeight="1" x14ac:dyDescent="0.25">
      <c r="A18" s="29" t="s">
        <v>284</v>
      </c>
      <c r="B18" s="30" t="s">
        <v>285</v>
      </c>
      <c r="C18" s="30" t="s">
        <v>286</v>
      </c>
      <c r="D18" s="41" t="s">
        <v>210</v>
      </c>
      <c r="E18" s="30" t="s">
        <v>287</v>
      </c>
      <c r="F18" s="30" t="s">
        <v>288</v>
      </c>
      <c r="G18" s="30" t="s">
        <v>289</v>
      </c>
      <c r="H18" s="42" t="s">
        <v>193</v>
      </c>
    </row>
    <row r="19" spans="1:8" ht="146.25" customHeight="1" x14ac:dyDescent="0.25">
      <c r="A19" s="29" t="s">
        <v>290</v>
      </c>
      <c r="B19" s="30" t="s">
        <v>291</v>
      </c>
      <c r="C19" s="30" t="s">
        <v>292</v>
      </c>
      <c r="D19" s="43" t="s">
        <v>203</v>
      </c>
      <c r="E19" s="30" t="s">
        <v>293</v>
      </c>
      <c r="F19" s="30" t="s">
        <v>294</v>
      </c>
      <c r="G19" s="30" t="s">
        <v>295</v>
      </c>
      <c r="H19" s="44" t="s">
        <v>278</v>
      </c>
    </row>
  </sheetData>
  <autoFilter ref="A1:H19"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Overview</vt:lpstr>
      <vt:lpstr>Tasks</vt:lpstr>
      <vt:lpstr>Known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Karounias</cp:lastModifiedBy>
  <dcterms:created xsi:type="dcterms:W3CDTF">2026-07-18T13:39:39Z</dcterms:created>
  <dcterms:modified xsi:type="dcterms:W3CDTF">2026-07-27T20:15:52Z</dcterms:modified>
</cp:coreProperties>
</file>