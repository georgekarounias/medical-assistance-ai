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asks" sheetId="2" state="visible" r:id="rId2"/>
    <sheet name="Known Bug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00000"/>
      <sz val="16"/>
    </font>
    <font>
      <name val="Arial"/>
      <color rgb="00000000"/>
      <sz val="10"/>
    </font>
    <font>
      <name val="Arial"/>
      <b val="1"/>
      <color rgb="00000000"/>
      <sz val="12"/>
    </font>
    <font>
      <name val="Arial"/>
      <b val="1"/>
      <color rgb="00006100"/>
      <sz val="10"/>
    </font>
    <font>
      <name val="Arial"/>
      <b val="1"/>
      <color rgb="009C6500"/>
      <sz val="10"/>
    </font>
    <font>
      <name val="Arial"/>
      <color rgb="00595959"/>
      <sz val="10"/>
    </font>
    <font>
      <name val="Arial"/>
      <b val="1"/>
      <color rgb="00FFFFFF"/>
      <sz val="10"/>
    </font>
    <font>
      <name val="Arial"/>
      <b val="1"/>
      <color rgb="00000000"/>
      <sz val="10"/>
    </font>
  </fonts>
  <fills count="6">
    <fill>
      <patternFill/>
    </fill>
    <fill>
      <patternFill patternType="gray125"/>
    </fill>
    <fill>
      <patternFill patternType="solid">
        <fgColor rgb="00C6EFCE"/>
      </patternFill>
    </fill>
    <fill>
      <patternFill patternType="solid">
        <fgColor rgb="00FFEB9C"/>
      </patternFill>
    </fill>
    <fill>
      <patternFill patternType="solid">
        <fgColor rgb="00F2F2F2"/>
      </patternFill>
    </fill>
    <fill>
      <patternFill patternType="solid">
        <fgColor rgb="001F3864"/>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3" borderId="0" applyAlignment="1" pivotButton="0" quotePrefix="0" xfId="0">
      <alignment vertical="top" wrapText="1"/>
    </xf>
    <xf numFmtId="0" fontId="6" fillId="4" borderId="0" applyAlignment="1" pivotButton="0" quotePrefix="0" xfId="0">
      <alignment vertical="top" wrapText="1"/>
    </xf>
    <xf numFmtId="0" fontId="7" fillId="5"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8" fillId="0" borderId="1" applyAlignment="1" pivotButton="0" quotePrefix="0" xfId="0">
      <alignment vertical="top" wrapText="1"/>
    </xf>
    <xf numFmtId="0" fontId="8" fillId="0" borderId="1" applyAlignment="1" pivotButton="0" quotePrefix="0" xfId="0">
      <alignment horizontal="center" vertical="top"/>
    </xf>
    <xf numFmtId="0" fontId="4" fillId="2" borderId="1" applyAlignment="1" pivotButton="0" quotePrefix="0" xfId="0">
      <alignment horizontal="center" vertical="top"/>
    </xf>
    <xf numFmtId="0" fontId="6"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3"/>
  <sheetViews>
    <sheetView showGridLines="0" workbookViewId="0">
      <selection activeCell="A1" sqref="A1"/>
    </sheetView>
  </sheetViews>
  <sheetFormatPr baseColWidth="8" defaultRowHeight="15"/>
  <cols>
    <col width="3" customWidth="1" min="1" max="1"/>
    <col width="46" customWidth="1" min="2" max="2"/>
    <col width="12" customWidth="1" min="3" max="3"/>
    <col width="12" customWidth="1" min="4" max="4"/>
    <col width="12" customWidth="1" min="5" max="5"/>
    <col width="14" customWidth="1" min="6" max="6"/>
  </cols>
  <sheetData>
    <row r="2">
      <c r="B2" s="1" t="inlineStr">
        <is>
          <t>Retrieval &amp; Grounded Chat - Developer Task List</t>
        </is>
      </c>
    </row>
    <row r="3">
      <c r="B3" s="2" t="inlineStr">
        <is>
          <t>Turns the patient-scoped knowledge store into an askable clinical assistant. A doctor's question (relayed by the existing backend) is scoped to the patient, optionally refined, embedded with the same model that indexed the record, and matched against the patient's own Chunks in pgvector; the result is a grounded, cited clinical answer - or an honest 'insufficient evidence'. Conversations, memory and titles live in the backend and are out of scope. Stack: .NET 10, ASP.NET controllers, EF Core, Postgres + pgvector, Microsoft Agent Framework. Work rule: take the first task whose dependencies are all Completed; each task is one red-green TDD cycle at the chat-endpoint seam.</t>
        </is>
      </c>
    </row>
    <row r="6">
      <c r="B6" s="3" t="inlineStr">
        <is>
          <t>The invariant, restated for chat</t>
        </is>
      </c>
    </row>
    <row r="7">
      <c r="B7" s="2" t="inlineStr">
        <is>
          <t>1. The model may assert only what the evidence supports - the answer is generated prose, but the patient's own Chunks are the sole source and grounding is verified before release (ADR-0012).</t>
        </is>
      </c>
    </row>
    <row r="8">
      <c r="B8" s="2" t="inlineStr">
        <is>
          <t>2. Nothing ungrounded is ever emitted - no evidence is an honest refusal; a failed citation check fails the turn rather than shows the text (ADR-0012).</t>
        </is>
      </c>
    </row>
    <row r="9">
      <c r="B9" s="2" t="inlineStr">
        <is>
          <t>3. patient_id is the only hard boundary, applied inside the search query - a hit is already the authoritative row, so there is no separate validation step (ADR-0011).</t>
        </is>
      </c>
    </row>
    <row r="10">
      <c r="B10" s="2" t="inlineStr">
        <is>
          <t>Full reasoning: docs/adr/0010-0012, docs/retrieval-and-chat-design.md, docs/prd/0002.</t>
        </is>
      </c>
    </row>
    <row r="12">
      <c r="B12" s="3" t="inlineStr">
        <is>
          <t>Status legend</t>
        </is>
      </c>
    </row>
    <row r="13">
      <c r="B13" s="4" t="inlineStr">
        <is>
          <t>Completed</t>
        </is>
      </c>
    </row>
    <row r="14">
      <c r="B14" s="5" t="inlineStr">
        <is>
          <t>In Progress</t>
        </is>
      </c>
    </row>
    <row r="15">
      <c r="B15" s="6" t="inlineStr">
        <is>
          <t>Not Started</t>
        </is>
      </c>
    </row>
    <row r="17">
      <c r="B17" s="3" t="inlineStr">
        <is>
          <t>Phases</t>
        </is>
      </c>
    </row>
    <row r="18">
      <c r="B18" s="7" t="inlineStr">
        <is>
          <t>Phase</t>
        </is>
      </c>
      <c r="C18" s="7" t="inlineStr">
        <is>
          <t>Tasks</t>
        </is>
      </c>
      <c r="D18" s="7" t="inlineStr">
        <is>
          <t>Completed</t>
        </is>
      </c>
      <c r="E18" s="7" t="inlineStr">
        <is>
          <t>Remaining</t>
        </is>
      </c>
    </row>
    <row r="19">
      <c r="B19" s="8" t="inlineStr">
        <is>
          <t>8 - Retrieval Foundations</t>
        </is>
      </c>
      <c r="C19" s="9">
        <f>COUNTIF(Tasks!$B$2:$B$999,B19)</f>
        <v/>
      </c>
      <c r="D19" s="9">
        <f>COUNTIFS(Tasks!$B$2:$B$999,B19,Tasks!$G$2:$G$999,"Completed")</f>
        <v/>
      </c>
      <c r="E19" s="9">
        <f>C19-D19</f>
        <v/>
      </c>
    </row>
    <row r="20">
      <c r="B20" s="8" t="inlineStr">
        <is>
          <t>9 - Grounded Chat</t>
        </is>
      </c>
      <c r="C20" s="9">
        <f>COUNTIF(Tasks!$B$2:$B$999,B20)</f>
        <v/>
      </c>
      <c r="D20" s="9">
        <f>COUNTIFS(Tasks!$B$2:$B$999,B20,Tasks!$G$2:$G$999,"Completed")</f>
        <v/>
      </c>
      <c r="E20" s="9">
        <f>C20-D20</f>
        <v/>
      </c>
    </row>
    <row r="21">
      <c r="B21" s="8" t="inlineStr">
        <is>
          <t>10 - Grounding Safety</t>
        </is>
      </c>
      <c r="C21" s="9">
        <f>COUNTIF(Tasks!$B$2:$B$999,B21)</f>
        <v/>
      </c>
      <c r="D21" s="9">
        <f>COUNTIFS(Tasks!$B$2:$B$999,B21,Tasks!$G$2:$G$999,"Completed")</f>
        <v/>
      </c>
      <c r="E21" s="9">
        <f>C21-D21</f>
        <v/>
      </c>
    </row>
    <row r="22">
      <c r="B22" s="8" t="inlineStr">
        <is>
          <t>11 - Evaluation &amp; Observability</t>
        </is>
      </c>
      <c r="C22" s="9">
        <f>COUNTIF(Tasks!$B$2:$B$999,B22)</f>
        <v/>
      </c>
      <c r="D22" s="9">
        <f>COUNTIFS(Tasks!$B$2:$B$999,B22,Tasks!$G$2:$G$999,"Completed")</f>
        <v/>
      </c>
      <c r="E22" s="9">
        <f>C22-D22</f>
        <v/>
      </c>
    </row>
    <row r="23">
      <c r="B23" s="10" t="inlineStr">
        <is>
          <t>Total</t>
        </is>
      </c>
      <c r="C23" s="11">
        <f>SUM(C19:C22)</f>
        <v/>
      </c>
      <c r="D23" s="11">
        <f>SUM(D19:D22)</f>
        <v/>
      </c>
      <c r="E23" s="11">
        <f>SUM(E19:E22)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30" customWidth="1" min="3" max="3"/>
    <col width="66" customWidth="1" min="4" max="4"/>
    <col width="54" customWidth="1" min="5" max="5"/>
    <col width="11" customWidth="1" min="6" max="6"/>
    <col width="13" customWidth="1" min="7" max="7"/>
  </cols>
  <sheetData>
    <row r="1" ht="26.1" customHeight="1">
      <c r="A1" s="7" t="inlineStr">
        <is>
          <t>ID</t>
        </is>
      </c>
      <c r="B1" s="7" t="inlineStr">
        <is>
          <t>Phase</t>
        </is>
      </c>
      <c r="C1" s="7" t="inlineStr">
        <is>
          <t>Title</t>
        </is>
      </c>
      <c r="D1" s="7" t="inlineStr">
        <is>
          <t>The Task</t>
        </is>
      </c>
      <c r="E1" s="7" t="inlineStr">
        <is>
          <t>How it contributes to the bigger picture</t>
        </is>
      </c>
      <c r="F1" s="7" t="inlineStr">
        <is>
          <t>Depends On</t>
        </is>
      </c>
      <c r="G1" s="7" t="inlineStr">
        <is>
          <t>Status</t>
        </is>
      </c>
    </row>
    <row r="2" ht="66" customHeight="1">
      <c r="A2" s="10" t="inlineStr">
        <is>
          <t>T38</t>
        </is>
      </c>
      <c r="B2" s="8" t="inlineStr">
        <is>
          <t>8 - Retrieval Foundations</t>
        </is>
      </c>
      <c r="C2" s="8" t="inlineStr">
        <is>
          <t>Design documentation</t>
        </is>
      </c>
      <c r="D2" s="8" t="inlineStr">
        <is>
          <t>All design artifacts for retrieval and chat exist: glossary additions (CONTEXT.md, Retrieval &amp; Chat section), the design record (docs/retrieval-and-chat-design.md), ADRs 0010-0012, and PRD 0002. Read the ADRs before implementing any task - they are constraints, not suggestions.</t>
        </is>
      </c>
      <c r="E2" s="8" t="inlineStr">
        <is>
          <t>Every task below implements a decision argued and recorded in the grill session; the docs are the 'why' behind each one, and the invariant is deliberately restated for a generative answer path.</t>
        </is>
      </c>
      <c r="F2" s="8" t="inlineStr"/>
      <c r="G2" s="12" t="inlineStr">
        <is>
          <t>Completed</t>
        </is>
      </c>
    </row>
    <row r="3" ht="66" customHeight="1">
      <c r="A3" s="10" t="inlineStr">
        <is>
          <t>T39</t>
        </is>
      </c>
      <c r="B3" s="8" t="inlineStr">
        <is>
          <t>8 - Retrieval Foundations</t>
        </is>
      </c>
      <c r="C3" s="8" t="inlineStr">
        <is>
          <t>Controllable embedding fake</t>
        </is>
      </c>
      <c r="D3" s="8" t="inlineStr">
        <is>
          <t>Add a test-only embedding generator that lets a test pin a known vector to a known text (and derive stable vectors otherwise), so cosine distances - and therefore ranking order and the confidence-threshold cutoff - are deterministic. The existing hash-based fake stays for ingestion tests that never assert on similarity.</t>
        </is>
      </c>
      <c r="E3" s="8" t="inlineStr">
        <is>
          <t>Retrieval's whole job is similarity ordering and a threshold; the current hash fake has no semantic structure, so ranking and refusal could not be honestly asserted. This is the one new test seam the feature introduces.</t>
        </is>
      </c>
      <c r="F3" s="8" t="inlineStr">
        <is>
          <t>T38</t>
        </is>
      </c>
      <c r="G3" s="13" t="inlineStr">
        <is>
          <t>Not Started</t>
        </is>
      </c>
    </row>
    <row r="4" ht="66" customHeight="1">
      <c r="A4" s="10" t="inlineStr">
        <is>
          <t>T40</t>
        </is>
      </c>
      <c r="B4" s="8" t="inlineStr">
        <is>
          <t>8 - Retrieval Foundations</t>
        </is>
      </c>
      <c r="C4" s="8" t="inlineStr">
        <is>
          <t>Retrieval context &amp; ordered-step pipeline</t>
        </is>
      </c>
      <c r="D4" s="8" t="inlineStr">
        <is>
          <t>Introduce the request-scoped Retrieval Context and an ordered-step pipeline (each step an IRetrievalStep with an Order, resolved, sorted, run in sequence). The first step establishes the mandatory patient_id scope; the service exposes an internal SearchAsync - no HTTP surface yet (ADR-0010).</t>
        </is>
      </c>
      <c r="E4" s="8" t="inlineStr">
        <is>
          <t>The pipeline seam from the grill session: scope -&gt; refine -&gt; embed -&gt; search -&gt; package, with deferred steps (hybrid search, structured tool) slotting in by registration. patient_id is the security boundary, set first.</t>
        </is>
      </c>
      <c r="F4" s="8" t="inlineStr">
        <is>
          <t>T39</t>
        </is>
      </c>
      <c r="G4" s="13" t="inlineStr">
        <is>
          <t>Not Started</t>
        </is>
      </c>
    </row>
    <row r="5" ht="66" customHeight="1">
      <c r="A5" s="10" t="inlineStr">
        <is>
          <t>T41</t>
        </is>
      </c>
      <c r="B5" s="8" t="inlineStr">
        <is>
          <t>8 - Retrieval Foundations</t>
        </is>
      </c>
      <c r="C5" s="8" t="inlineStr">
        <is>
          <t>Query embedding &amp; patient-scoped vector search</t>
        </is>
      </c>
      <c r="D5" s="8" t="inlineStr">
        <is>
          <t>The embed step generates the query vector with the SAME model and dimensions as ingestion; the search step runs the ANN query over the halfvec(3072) cast within scope, applying doctorId / documentType / clinical-date / session / language filters in the same WHERE, and packages survivors as Evidence Items (score + provenance + verbatim text). No overfetch, no hydration - pgvector is the authoritative store (ADR-0011).</t>
        </is>
      </c>
      <c r="E5" s="8" t="inlineStr">
        <is>
          <t>Retrieval reads the authoritative record directly; a hit is already the row, so the two-store 'validate against SQL' step is deliberately absent. Un-ingested and superseded Chunks are physically gone, so they can never surface.</t>
        </is>
      </c>
      <c r="F5" s="8" t="inlineStr">
        <is>
          <t>T40</t>
        </is>
      </c>
      <c r="G5" s="13" t="inlineStr">
        <is>
          <t>Not Started</t>
        </is>
      </c>
    </row>
    <row r="6" ht="66" customHeight="1">
      <c r="A6" s="10" t="inlineStr">
        <is>
          <t>T42</t>
        </is>
      </c>
      <c r="B6" s="8" t="inlineStr">
        <is>
          <t>9 - Grounded Chat</t>
        </is>
      </c>
      <c r="C6" s="8" t="inlineStr">
        <is>
          <t>Chat answer endpoint - POST /patients/{patientId}/chat/answer</t>
        </is>
      </c>
      <c r="D6" s="8" t="inlineStr">
        <is>
          <t>The one public endpoint (secret-authenticated). Accepts { doctorId, question, optional recentTurns, optional priorSummary, optional topK, optional filters }, runs retrieval, and returns a complete answer with citations. Stateless: no conversation, message or memory storage (ADR-0010). Conversation context is input only.</t>
        </is>
      </c>
      <c r="E6" s="8" t="inlineStr">
        <is>
          <t>The single public surface of the feature. Conversations live in the backend; this service stays a pure function of its inputs, keeping ADR-0007's narrow boundary intact.</t>
        </is>
      </c>
      <c r="F6" s="8" t="inlineStr">
        <is>
          <t>T41</t>
        </is>
      </c>
      <c r="G6" s="13" t="inlineStr">
        <is>
          <t>Not Started</t>
        </is>
      </c>
    </row>
    <row r="7" ht="66" customHeight="1">
      <c r="A7" s="10" t="inlineStr">
        <is>
          <t>T43</t>
        </is>
      </c>
      <c r="B7" s="8" t="inlineStr">
        <is>
          <t>9 - Grounded Chat</t>
        </is>
      </c>
      <c r="C7" s="8" t="inlineStr">
        <is>
          <t>Grounded answer agent (DB-seeded)</t>
        </is>
      </c>
      <c r="D7" s="8" t="inlineStr">
        <is>
          <t>A Microsoft Agent Framework agent whose instructions are seeded by migration (ADR-0008): one fixed clinical voice, answers ONLY from the supplied [E#] Evidence Items, cites them, in the question's language. Non-streaming: generate the full answer, then return (verification lands in T46).</t>
        </is>
      </c>
      <c r="E7" s="8" t="inlineStr">
        <is>
          <t>The generative half of the invariant restatement: the model writes the words but may assert only what the evidence supports. Prompts are data, not code - tunable by restart.</t>
        </is>
      </c>
      <c r="F7" s="8" t="inlineStr">
        <is>
          <t>T41, T42</t>
        </is>
      </c>
      <c r="G7" s="13" t="inlineStr">
        <is>
          <t>Not Started</t>
        </is>
      </c>
    </row>
    <row r="8" ht="66" customHeight="1">
      <c r="A8" s="10" t="inlineStr">
        <is>
          <t>T44</t>
        </is>
      </c>
      <c r="B8" s="8" t="inlineStr">
        <is>
          <t>9 - Grounded Chat</t>
        </is>
      </c>
      <c r="C8" s="8" t="inlineStr">
        <is>
          <t>Query refinement step (config-gated, fail-open)</t>
        </is>
      </c>
      <c r="D8" s="8" t="inlineStr">
        <is>
          <t>Optional refinement step: an agent (DB-seeded prompt) rewrites the question into a cleaner search query, using the conversation context to resolve pronouns. Gated by config; on failure or when disabled, fall back to the raw question. Affects only the query vector.</t>
        </is>
      </c>
      <c r="E8" s="8" t="inlineStr">
        <is>
          <t>Improves recall for conversational, pronoun-heavy questions - the reason conversation context is accepted - without ever touching the answer's grounding.</t>
        </is>
      </c>
      <c r="F8" s="8" t="inlineStr">
        <is>
          <t>T43</t>
        </is>
      </c>
      <c r="G8" s="13" t="inlineStr">
        <is>
          <t>Not Started</t>
        </is>
      </c>
    </row>
    <row r="9" ht="66" customHeight="1">
      <c r="A9" s="10" t="inlineStr">
        <is>
          <t>T45</t>
        </is>
      </c>
      <c r="B9" s="8" t="inlineStr">
        <is>
          <t>10 - Grounding Safety</t>
        </is>
      </c>
      <c r="C9" s="8" t="inlineStr">
        <is>
          <t>Confidence threshold &amp; insufficient-evidence refusal</t>
        </is>
      </c>
      <c r="D9" s="8" t="inlineStr">
        <is>
          <t>Drop hits below a configurable Confidence Threshold; when nothing clears it - including a patient with no Chunks at all - return a deterministic, code-owned refusal localized to the question's language (200, refused:true, no citations, and NO model call on this path).</t>
        </is>
      </c>
      <c r="E9" s="8" t="inlineStr">
        <is>
          <t>'The search returned something' is not 'the record supports this.' Refusal is a first-class, honest outcome that prevents ungrounded health guidance (ADR-0012).</t>
        </is>
      </c>
      <c r="F9" s="8" t="inlineStr">
        <is>
          <t>T42</t>
        </is>
      </c>
      <c r="G9" s="13" t="inlineStr">
        <is>
          <t>Not Started</t>
        </is>
      </c>
    </row>
    <row r="10" ht="66" customHeight="1">
      <c r="A10" s="10" t="inlineStr">
        <is>
          <t>T46</t>
        </is>
      </c>
      <c r="B10" s="8" t="inlineStr">
        <is>
          <t>10 - Grounding Safety</t>
        </is>
      </c>
      <c r="C10" s="8" t="inlineStr">
        <is>
          <t>Citation verification &amp; fail-fast</t>
        </is>
      </c>
      <c r="D10" s="8" t="inlineStr">
        <is>
          <t>Verify every [E#] the answer cites was actually supplied this turn and still resolves. The answer is generated in full, verified, then returned. Verification failure fails the turn (5xx) with NO corrective retry - deliberately unlike the ingestion chunker's one retry - and never emits the unverified text.</t>
        </is>
      </c>
      <c r="E10" s="8" t="inlineStr">
        <is>
          <t>The enforcement half of the invariant: nothing ungrounded ever leaves the service. Fail-fast keeps the safety-critical path simple and lets the caller decide whether to retry.</t>
        </is>
      </c>
      <c r="F10" s="8" t="inlineStr">
        <is>
          <t>T43, T45</t>
        </is>
      </c>
      <c r="G10" s="13" t="inlineStr">
        <is>
          <t>Not Started</t>
        </is>
      </c>
    </row>
    <row r="11" ht="66" customHeight="1">
      <c r="A11" s="10" t="inlineStr">
        <is>
          <t>T47</t>
        </is>
      </c>
      <c r="B11" s="8" t="inlineStr">
        <is>
          <t>10 - Grounding Safety</t>
        </is>
      </c>
      <c r="C11" s="8" t="inlineStr">
        <is>
          <t>Cross-language retrieval &amp; answer language</t>
        </is>
      </c>
      <c r="D11" s="8" t="inlineStr">
        <is>
          <t>Prove a Greek question retrieves an English Chunk about the same patient and vice versa (multilingual embeddings), and that the answer is written in the question's language while citing evidence in whatever language it is in. language stays an optional filter, never a barrier.</t>
        </is>
      </c>
      <c r="E11" s="8" t="inlineStr">
        <is>
          <t>A bilingual clinician and a mixed Greek/English record are first-class; language never blocks a grounded answer.</t>
        </is>
      </c>
      <c r="F11" s="8" t="inlineStr">
        <is>
          <t>T43</t>
        </is>
      </c>
      <c r="G11" s="13" t="inlineStr">
        <is>
          <t>Not Started</t>
        </is>
      </c>
    </row>
    <row r="12" ht="66" customHeight="1">
      <c r="A12" s="10" t="inlineStr">
        <is>
          <t>T48</t>
        </is>
      </c>
      <c r="B12" s="8" t="inlineStr">
        <is>
          <t>11 - Evaluation &amp; Observability</t>
        </is>
      </c>
      <c r="C12" s="8" t="inlineStr">
        <is>
          <t>Request validation &amp; error contract</t>
        </is>
      </c>
      <c r="D12" s="8" t="inlineStr">
        <is>
          <t>Field-level 400s for a blank or garbled question and malformed filters; topK clamped 1..50; missing/invalid secret 401; an unknown or empty patient takes the refusal path (200), never a 404 - patient existence is not leaked and no patient registry is assumed; provider failures after transient retries are 5xx.</t>
        </is>
      </c>
      <c r="E12" s="8" t="inlineStr">
        <is>
          <t>A clear contract for the backend team, and the empty-patient case is handled honestly rather than fabricated around or leaked.</t>
        </is>
      </c>
      <c r="F12" s="8" t="inlineStr">
        <is>
          <t>T42, T45</t>
        </is>
      </c>
      <c r="G12" s="13" t="inlineStr">
        <is>
          <t>Not Started</t>
        </is>
      </c>
    </row>
    <row r="13" ht="66" customHeight="1">
      <c r="A13" s="10" t="inlineStr">
        <is>
          <t>T49</t>
        </is>
      </c>
      <c r="B13" s="8" t="inlineStr">
        <is>
          <t>11 - Evaluation &amp; Observability</t>
        </is>
      </c>
      <c r="C13" s="8" t="inlineStr">
        <is>
          <t>Conversation context bounds</t>
        </is>
      </c>
      <c r="D13" s="8" t="inlineStr">
        <is>
          <t>Clamp recentTurns and priorSummary defensively (count and length); use them only for refinement and phrasing; never persist them and never let them become an evidence source.</t>
        </is>
      </c>
      <c r="E13" s="8" t="inlineStr">
        <is>
          <t>Memory isolation from the grill session: continuity helps interpret the question, but every medical fact is re-retrieved and grounded on the current turn.</t>
        </is>
      </c>
      <c r="F13" s="8" t="inlineStr">
        <is>
          <t>T44</t>
        </is>
      </c>
      <c r="G13" s="13" t="inlineStr">
        <is>
          <t>Not Started</t>
        </is>
      </c>
    </row>
    <row r="14" ht="66" customHeight="1">
      <c r="A14" s="10" t="inlineStr">
        <is>
          <t>T50</t>
        </is>
      </c>
      <c r="B14" s="8" t="inlineStr">
        <is>
          <t>11 - Evaluation &amp; Observability</t>
        </is>
      </c>
      <c r="C14" s="8" t="inlineStr">
        <is>
          <t>Chat observability (telemetry-only)</t>
        </is>
      </c>
      <c r="D14" s="8" t="inlineStr">
        <is>
          <t>Extend ADR-0009: spans around refine / embed / search / generate / verify, and metrics for answered-vs-refused, citation count, and latency. Ids and counts only - never question or answer text. No chat rows are persisted; the who-asked-what user audit belongs to the backend.</t>
        </is>
      </c>
      <c r="E14" s="8" t="inlineStr">
        <is>
          <t>'The system explains itself', extended to chat - without putting patient content into telemetry, the same boundary the store already enforces.</t>
        </is>
      </c>
      <c r="F14" s="8" t="inlineStr">
        <is>
          <t>T42</t>
        </is>
      </c>
      <c r="G14" s="13" t="inlineStr">
        <is>
          <t>Not Started</t>
        </is>
      </c>
    </row>
    <row r="15" ht="66" customHeight="1">
      <c r="A15" s="10" t="inlineStr">
        <is>
          <t>T51</t>
        </is>
      </c>
      <c r="B15" s="8" t="inlineStr">
        <is>
          <t>11 - Evaluation &amp; Observability</t>
        </is>
      </c>
      <c r="C15" s="8" t="inlineStr">
        <is>
          <t>Golden chat sets &amp; threshold calibration</t>
        </is>
      </c>
      <c r="D15" s="8" t="inlineStr">
        <is>
          <t>Curated Greek / English / mixed question sets with expected grounded answers and expected refusals, run as regression tests; use them to calibrate the Confidence Threshold and topK so refusal fires when - and only when - it should. Companion to T36's ingestion golden sets.</t>
        </is>
      </c>
      <c r="E15" s="8" t="inlineStr">
        <is>
          <t>Turns the safety thresholds from guesses into measured values, and makes retrieval recall / refusal / citation correctness a gate rather than a claim.</t>
        </is>
      </c>
      <c r="F15" s="8" t="inlineStr">
        <is>
          <t>T45, T46, T47</t>
        </is>
      </c>
      <c r="G15" s="13" t="inlineStr">
        <is>
          <t>Not Started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4" customWidth="1" min="3" max="3"/>
    <col width="11" customWidth="1" min="4" max="4"/>
    <col width="64" customWidth="1" min="5" max="5"/>
    <col width="48" customWidth="1" min="6" max="6"/>
    <col width="64" customWidth="1" min="7" max="7"/>
    <col width="15" customWidth="1" min="8" max="8"/>
  </cols>
  <sheetData>
    <row r="1" ht="26.1" customHeight="1">
      <c r="A1" s="7" t="inlineStr">
        <is>
          <t>ID</t>
        </is>
      </c>
      <c r="B1" s="7" t="inlineStr">
        <is>
          <t>Area</t>
        </is>
      </c>
      <c r="C1" s="7" t="inlineStr">
        <is>
          <t>Title</t>
        </is>
      </c>
      <c r="D1" s="7" t="inlineStr">
        <is>
          <t>Severity</t>
        </is>
      </c>
      <c r="E1" s="7" t="inlineStr">
        <is>
          <t>The Problem</t>
        </is>
      </c>
      <c r="F1" s="7" t="inlineStr">
        <is>
          <t>Why it matters</t>
        </is>
      </c>
      <c r="G1" s="7" t="inlineStr">
        <is>
          <t>Suggested Solution</t>
        </is>
      </c>
      <c r="H1" s="7" t="inlineStr">
        <is>
          <t>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2026-07-29T23:25:12Z</dcterms:created>
  <dcterms:modified xsi:type="dcterms:W3CDTF">2026-07-29T23:25:12Z</dcterms:modified>
</cp:coreProperties>
</file>